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yalp\Documents\GitHub\phd_thesis\chapters\experiment\odt_system\vertical_trap\vertical_trap_profile\"/>
    </mc:Choice>
  </mc:AlternateContent>
  <xr:revisionPtr revIDLastSave="0" documentId="13_ncr:1_{0E9DD16D-F653-4078-B043-89F7E0C07864}" xr6:coauthVersionLast="43" xr6:coauthVersionMax="43" xr10:uidLastSave="{00000000-0000-0000-0000-000000000000}"/>
  <bookViews>
    <workbookView xWindow="-108" yWindow="-108" windowWidth="23256" windowHeight="12576" tabRatio="647" activeTab="1" xr2:uid="{00000000-000D-0000-FFFF-FFFF00000000}"/>
  </bookViews>
  <sheets>
    <sheet name="1" sheetId="44" r:id="rId1"/>
    <sheet name="Sheet1" sheetId="45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3" i="45" l="1"/>
  <c r="C23" i="45" s="1"/>
  <c r="B22" i="45"/>
  <c r="C22" i="45" s="1"/>
  <c r="B21" i="45"/>
  <c r="C21" i="45" s="1"/>
  <c r="B20" i="45"/>
  <c r="C20" i="45" s="1"/>
  <c r="B19" i="45"/>
  <c r="C19" i="45" s="1"/>
  <c r="B18" i="45"/>
  <c r="C18" i="45" s="1"/>
  <c r="B17" i="45"/>
  <c r="C17" i="45" s="1"/>
  <c r="B16" i="45"/>
  <c r="C16" i="45" s="1"/>
  <c r="B15" i="45"/>
  <c r="C15" i="45" s="1"/>
  <c r="B14" i="45"/>
  <c r="C14" i="45" s="1"/>
  <c r="B13" i="45"/>
  <c r="C13" i="45" s="1"/>
  <c r="B12" i="45"/>
  <c r="C12" i="45" s="1"/>
  <c r="B11" i="45"/>
  <c r="C11" i="45" s="1"/>
  <c r="B10" i="45"/>
  <c r="C10" i="45" s="1"/>
  <c r="B9" i="45"/>
  <c r="C9" i="45" s="1"/>
  <c r="B8" i="45"/>
  <c r="C8" i="45" s="1"/>
  <c r="B7" i="45"/>
  <c r="C7" i="45" s="1"/>
  <c r="B6" i="45"/>
  <c r="C6" i="45" s="1"/>
  <c r="B5" i="45"/>
  <c r="C5" i="45" s="1"/>
  <c r="B4" i="45"/>
  <c r="C4" i="45" s="1"/>
  <c r="B3" i="45"/>
  <c r="C3" i="45" s="1"/>
  <c r="B2" i="45"/>
  <c r="C2" i="45" s="1"/>
  <c r="L34" i="44" l="1"/>
  <c r="M34" i="44"/>
  <c r="L25" i="44"/>
  <c r="M25" i="44"/>
  <c r="L26" i="44"/>
  <c r="M26" i="44"/>
  <c r="L27" i="44"/>
  <c r="M27" i="44"/>
  <c r="L28" i="44"/>
  <c r="M28" i="44"/>
  <c r="L29" i="44"/>
  <c r="M29" i="44"/>
  <c r="L30" i="44"/>
  <c r="M30" i="44"/>
  <c r="L31" i="44"/>
  <c r="M31" i="44"/>
  <c r="L32" i="44"/>
  <c r="M32" i="44"/>
  <c r="L33" i="44"/>
  <c r="M33" i="44"/>
  <c r="B29" i="44"/>
  <c r="C29" i="44"/>
  <c r="B30" i="44"/>
  <c r="C30" i="44"/>
  <c r="B31" i="44"/>
  <c r="C31" i="44"/>
  <c r="B32" i="44"/>
  <c r="C32" i="44"/>
  <c r="B33" i="44"/>
  <c r="C33" i="44" s="1"/>
  <c r="B34" i="44"/>
  <c r="C34" i="44"/>
  <c r="B28" i="44"/>
  <c r="C28" i="44" s="1"/>
  <c r="B27" i="44"/>
  <c r="C27" i="44" s="1"/>
  <c r="B26" i="44"/>
  <c r="C26" i="44" s="1"/>
  <c r="B25" i="44"/>
  <c r="C25" i="44" s="1"/>
  <c r="B14" i="44"/>
  <c r="B15" i="44"/>
  <c r="B16" i="44"/>
  <c r="B17" i="44"/>
  <c r="B18" i="44"/>
  <c r="B19" i="44"/>
  <c r="B20" i="44"/>
  <c r="B21" i="44"/>
  <c r="B22" i="44"/>
  <c r="B23" i="44"/>
  <c r="B24" i="44"/>
  <c r="B13" i="44"/>
  <c r="C13" i="44" l="1"/>
  <c r="L13" i="44"/>
  <c r="M13" i="44"/>
  <c r="C14" i="44"/>
  <c r="L14" i="44"/>
  <c r="M14" i="44"/>
  <c r="C15" i="44"/>
  <c r="L15" i="44"/>
  <c r="M15" i="44"/>
  <c r="C16" i="44"/>
  <c r="L16" i="44"/>
  <c r="M16" i="44"/>
  <c r="C17" i="44"/>
  <c r="L17" i="44"/>
  <c r="M17" i="44"/>
  <c r="C18" i="44"/>
  <c r="L18" i="44"/>
  <c r="M18" i="44"/>
  <c r="C19" i="44"/>
  <c r="L19" i="44"/>
  <c r="M19" i="44"/>
  <c r="C20" i="44"/>
  <c r="L20" i="44"/>
  <c r="M20" i="44"/>
  <c r="C21" i="44"/>
  <c r="L21" i="44"/>
  <c r="M21" i="44"/>
  <c r="C22" i="44"/>
  <c r="L22" i="44"/>
  <c r="M22" i="44"/>
  <c r="C23" i="44"/>
  <c r="L23" i="44"/>
  <c r="M23" i="44"/>
  <c r="C24" i="44"/>
  <c r="L24" i="44"/>
  <c r="M24" i="44"/>
</calcChain>
</file>

<file path=xl/sharedStrings.xml><?xml version="1.0" encoding="utf-8"?>
<sst xmlns="http://schemas.openxmlformats.org/spreadsheetml/2006/main" count="37" uniqueCount="32">
  <si>
    <t>Date</t>
  </si>
  <si>
    <t>Laser</t>
  </si>
  <si>
    <t>S/N</t>
  </si>
  <si>
    <t>Notes</t>
  </si>
  <si>
    <t>Lambda [nm]</t>
  </si>
  <si>
    <t>Track Dist [mm]</t>
  </si>
  <si>
    <t>Calculated distances</t>
  </si>
  <si>
    <t>I (from driver) [mA]</t>
  </si>
  <si>
    <t>TEC temp [C]</t>
  </si>
  <si>
    <t>ND Filter</t>
  </si>
  <si>
    <t>Dist [mm]</t>
  </si>
  <si>
    <t>Dist [cm]</t>
  </si>
  <si>
    <t>Resolution</t>
  </si>
  <si>
    <t>1/e^2 ratio</t>
  </si>
  <si>
    <t>None</t>
  </si>
  <si>
    <t>1/e^2 beam profile (avg. 20)</t>
  </si>
  <si>
    <t>Gaussian fit 1/e^2 beam profile (avg. 20)</t>
  </si>
  <si>
    <t>X width [um]</t>
  </si>
  <si>
    <t>X std. dev. [um]</t>
  </si>
  <si>
    <t>Y width [um]</t>
  </si>
  <si>
    <t>Y std. dev. [um]</t>
  </si>
  <si>
    <t>X/Y</t>
  </si>
  <si>
    <t>Y/X</t>
  </si>
  <si>
    <t>Vertical (Rev. 2) IR dipole trap.</t>
  </si>
  <si>
    <t>Profile of the beam out from the vertical ODT beam (revision 2). 
-Distance is wrt to front face of collimator.
-X is "horizontal" and Y is "vertical" (the orientations don't mean much since the output from the fiber is a bit tilted). 
-Assumed uncertainty of 5 um. 
-"High power" with ~1.25 W out of system.</t>
  </si>
  <si>
    <t>Track dist [mm]</t>
  </si>
  <si>
    <t>Calculated dist [mm]</t>
  </si>
  <si>
    <t>Calculated dist [cm]</t>
  </si>
  <si>
    <t>V width e^-2 [um]</t>
  </si>
  <si>
    <t>V std. dev. [um]</t>
  </si>
  <si>
    <t>W width e^-2 [um]</t>
  </si>
  <si>
    <t>W std. dev. [um]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</si>
</sst>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3" x14ac:knownFonts="1">
    <font>
      <sz val="10"/>
      <color rgb="FF00000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1" fillId="0" borderId="2" xfId="1" applyFont="1" applyBorder="1" applyAlignment="1">
      <alignment wrapText="1"/>
    </xf>
    <xf numFmtId="0" fontId="1" fillId="0" borderId="2" xfId="1" applyBorder="1" applyAlignment="1">
      <alignment wrapText="1"/>
    </xf>
    <xf numFmtId="0" fontId="2" fillId="0" borderId="6" xfId="1" applyFont="1" applyBorder="1" applyAlignment="1">
      <alignment wrapText="1"/>
    </xf>
    <xf numFmtId="0" fontId="2" fillId="0" borderId="7" xfId="1" applyFont="1" applyBorder="1" applyAlignment="1">
      <alignment wrapText="1"/>
    </xf>
    <xf numFmtId="0" fontId="2" fillId="0" borderId="0" xfId="1" applyFont="1" applyBorder="1" applyAlignment="1">
      <alignment wrapText="1"/>
    </xf>
    <xf numFmtId="0" fontId="1" fillId="0" borderId="9" xfId="1" applyFont="1" applyBorder="1" applyAlignment="1">
      <alignment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6" xfId="1" applyFont="1" applyBorder="1" applyAlignment="1">
      <alignment wrapText="1"/>
    </xf>
    <xf numFmtId="0" fontId="1" fillId="0" borderId="7" xfId="1" applyFont="1" applyBorder="1" applyAlignment="1">
      <alignment wrapText="1"/>
    </xf>
    <xf numFmtId="0" fontId="1" fillId="0" borderId="0" xfId="1" applyFont="1" applyBorder="1" applyAlignment="1">
      <alignment wrapText="1"/>
    </xf>
    <xf numFmtId="0" fontId="2" fillId="0" borderId="11" xfId="1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4" xfId="1" applyFont="1" applyBorder="1" applyAlignment="1">
      <alignment wrapText="1"/>
    </xf>
    <xf numFmtId="0" fontId="0" fillId="0" borderId="10" xfId="0" applyBorder="1" applyAlignment="1">
      <alignment wrapText="1"/>
    </xf>
    <xf numFmtId="0" fontId="1" fillId="0" borderId="10" xfId="1" applyFont="1" applyBorder="1" applyAlignment="1">
      <alignment wrapText="1"/>
    </xf>
    <xf numFmtId="0" fontId="1" fillId="0" borderId="5" xfId="1" applyFont="1" applyBorder="1" applyAlignment="1">
      <alignment wrapText="1"/>
    </xf>
    <xf numFmtId="0" fontId="1" fillId="0" borderId="8" xfId="1" applyFont="1" applyBorder="1" applyAlignment="1">
      <alignment wrapText="1"/>
    </xf>
    <xf numFmtId="0" fontId="2" fillId="0" borderId="4" xfId="1" applyFont="1" applyBorder="1" applyAlignment="1">
      <alignment horizontal="center" wrapText="1"/>
    </xf>
    <xf numFmtId="0" fontId="2" fillId="0" borderId="10" xfId="1" applyFont="1" applyBorder="1" applyAlignment="1">
      <alignment horizontal="center" wrapText="1"/>
    </xf>
    <xf numFmtId="0" fontId="2" fillId="0" borderId="5" xfId="1" applyFont="1" applyBorder="1" applyAlignment="1">
      <alignment horizontal="center" wrapText="1"/>
    </xf>
    <xf numFmtId="164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'1'!$H$12</c:f>
              <c:strCache>
                <c:ptCount val="1"/>
                <c:pt idx="0">
                  <c:v>Y width [um]</c:v>
                </c:pt>
              </c:strCache>
            </c:strRef>
          </c:tx>
          <c:spPr>
            <a:ln w="28575">
              <a:noFill/>
            </a:ln>
          </c:spPr>
          <c:errBars>
            <c:errDir val="y"/>
            <c:errBarType val="both"/>
            <c:errValType val="cust"/>
            <c:noEndCap val="0"/>
            <c:plus>
              <c:numRef>
                <c:f>'1'!$I$13:$I$24</c:f>
                <c:numCache>
                  <c:formatCode>General</c:formatCode>
                  <c:ptCount val="12"/>
                </c:numCache>
              </c:numRef>
            </c:plus>
            <c:minus>
              <c:numRef>
                <c:f>'1'!$I$13:$I$24</c:f>
                <c:numCache>
                  <c:formatCode>General</c:formatCode>
                  <c:ptCount val="12"/>
                </c:numCache>
              </c:numRef>
            </c:minus>
          </c:errBars>
          <c:xVal>
            <c:numRef>
              <c:f>'1'!$C$13:$C$50</c:f>
              <c:numCache>
                <c:formatCode>General</c:formatCode>
                <c:ptCount val="38"/>
                <c:pt idx="0">
                  <c:v>32.862499999999997</c:v>
                </c:pt>
                <c:pt idx="1">
                  <c:v>33.862499999999997</c:v>
                </c:pt>
                <c:pt idx="2">
                  <c:v>34.362499999999997</c:v>
                </c:pt>
                <c:pt idx="3">
                  <c:v>34.862499999999997</c:v>
                </c:pt>
                <c:pt idx="4">
                  <c:v>35.0625</c:v>
                </c:pt>
                <c:pt idx="5">
                  <c:v>35.262500000000003</c:v>
                </c:pt>
                <c:pt idx="6">
                  <c:v>35.462499999999999</c:v>
                </c:pt>
                <c:pt idx="7">
                  <c:v>35.662500000000001</c:v>
                </c:pt>
                <c:pt idx="8">
                  <c:v>35.862499999999997</c:v>
                </c:pt>
                <c:pt idx="9">
                  <c:v>36.0625</c:v>
                </c:pt>
                <c:pt idx="10">
                  <c:v>36.262500000000003</c:v>
                </c:pt>
                <c:pt idx="11">
                  <c:v>36.462499999999999</c:v>
                </c:pt>
                <c:pt idx="12">
                  <c:v>36.662500000000001</c:v>
                </c:pt>
                <c:pt idx="13">
                  <c:v>36.862499999999997</c:v>
                </c:pt>
                <c:pt idx="14">
                  <c:v>37.0625</c:v>
                </c:pt>
                <c:pt idx="15">
                  <c:v>37.262500000000003</c:v>
                </c:pt>
                <c:pt idx="16">
                  <c:v>37.462499999999999</c:v>
                </c:pt>
                <c:pt idx="17">
                  <c:v>37.662500000000001</c:v>
                </c:pt>
                <c:pt idx="18">
                  <c:v>37.862499999999997</c:v>
                </c:pt>
                <c:pt idx="19">
                  <c:v>38.362499999999997</c:v>
                </c:pt>
                <c:pt idx="20">
                  <c:v>38.862499999999997</c:v>
                </c:pt>
                <c:pt idx="21">
                  <c:v>39.862499999999997</c:v>
                </c:pt>
              </c:numCache>
            </c:numRef>
          </c:xVal>
          <c:yVal>
            <c:numRef>
              <c:f>'1'!$D$13:$D$34</c:f>
              <c:numCache>
                <c:formatCode>General</c:formatCode>
                <c:ptCount val="22"/>
                <c:pt idx="0">
                  <c:v>425.5</c:v>
                </c:pt>
                <c:pt idx="1">
                  <c:v>332.7</c:v>
                </c:pt>
                <c:pt idx="2">
                  <c:v>277.7</c:v>
                </c:pt>
                <c:pt idx="3">
                  <c:v>223.6</c:v>
                </c:pt>
                <c:pt idx="4">
                  <c:v>204.8</c:v>
                </c:pt>
                <c:pt idx="5">
                  <c:v>195.5</c:v>
                </c:pt>
                <c:pt idx="6">
                  <c:v>169.7</c:v>
                </c:pt>
                <c:pt idx="7">
                  <c:v>154.30000000000001</c:v>
                </c:pt>
                <c:pt idx="8">
                  <c:v>141.19999999999999</c:v>
                </c:pt>
                <c:pt idx="9">
                  <c:v>131.4</c:v>
                </c:pt>
                <c:pt idx="10">
                  <c:v>126.3</c:v>
                </c:pt>
                <c:pt idx="11">
                  <c:v>126.5</c:v>
                </c:pt>
                <c:pt idx="12">
                  <c:v>132.30000000000001</c:v>
                </c:pt>
                <c:pt idx="13">
                  <c:v>141.19999999999999</c:v>
                </c:pt>
                <c:pt idx="14">
                  <c:v>152.1</c:v>
                </c:pt>
                <c:pt idx="15">
                  <c:v>164.9</c:v>
                </c:pt>
                <c:pt idx="16">
                  <c:v>206.1</c:v>
                </c:pt>
                <c:pt idx="17">
                  <c:v>189.5</c:v>
                </c:pt>
                <c:pt idx="18">
                  <c:v>202.2</c:v>
                </c:pt>
                <c:pt idx="19">
                  <c:v>231</c:v>
                </c:pt>
                <c:pt idx="20">
                  <c:v>260.8</c:v>
                </c:pt>
                <c:pt idx="21">
                  <c:v>333.3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F8-4785-A6AE-D1DFF711F33F}"/>
            </c:ext>
          </c:extLst>
        </c:ser>
        <c:ser>
          <c:idx val="1"/>
          <c:order val="1"/>
          <c:tx>
            <c:strRef>
              <c:f>'1'!$J$12</c:f>
              <c:strCache>
                <c:ptCount val="1"/>
                <c:pt idx="0">
                  <c:v>X width [um]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errBars>
            <c:errDir val="y"/>
            <c:errBarType val="both"/>
            <c:errValType val="cust"/>
            <c:noEndCap val="0"/>
            <c:plus>
              <c:numRef>
                <c:f>'1'!$K$13:$K$24</c:f>
                <c:numCache>
                  <c:formatCode>General</c:formatCode>
                  <c:ptCount val="12"/>
                </c:numCache>
              </c:numRef>
            </c:plus>
            <c:minus>
              <c:numRef>
                <c:f>'1'!$K$13:$K$24</c:f>
                <c:numCache>
                  <c:formatCode>General</c:formatCode>
                  <c:ptCount val="12"/>
                </c:numCache>
              </c:numRef>
            </c:minus>
          </c:errBars>
          <c:xVal>
            <c:numRef>
              <c:f>'1'!$C$13:$C$50</c:f>
              <c:numCache>
                <c:formatCode>General</c:formatCode>
                <c:ptCount val="38"/>
                <c:pt idx="0">
                  <c:v>32.862499999999997</c:v>
                </c:pt>
                <c:pt idx="1">
                  <c:v>33.862499999999997</c:v>
                </c:pt>
                <c:pt idx="2">
                  <c:v>34.362499999999997</c:v>
                </c:pt>
                <c:pt idx="3">
                  <c:v>34.862499999999997</c:v>
                </c:pt>
                <c:pt idx="4">
                  <c:v>35.0625</c:v>
                </c:pt>
                <c:pt idx="5">
                  <c:v>35.262500000000003</c:v>
                </c:pt>
                <c:pt idx="6">
                  <c:v>35.462499999999999</c:v>
                </c:pt>
                <c:pt idx="7">
                  <c:v>35.662500000000001</c:v>
                </c:pt>
                <c:pt idx="8">
                  <c:v>35.862499999999997</c:v>
                </c:pt>
                <c:pt idx="9">
                  <c:v>36.0625</c:v>
                </c:pt>
                <c:pt idx="10">
                  <c:v>36.262500000000003</c:v>
                </c:pt>
                <c:pt idx="11">
                  <c:v>36.462499999999999</c:v>
                </c:pt>
                <c:pt idx="12">
                  <c:v>36.662500000000001</c:v>
                </c:pt>
                <c:pt idx="13">
                  <c:v>36.862499999999997</c:v>
                </c:pt>
                <c:pt idx="14">
                  <c:v>37.0625</c:v>
                </c:pt>
                <c:pt idx="15">
                  <c:v>37.262500000000003</c:v>
                </c:pt>
                <c:pt idx="16">
                  <c:v>37.462499999999999</c:v>
                </c:pt>
                <c:pt idx="17">
                  <c:v>37.662500000000001</c:v>
                </c:pt>
                <c:pt idx="18">
                  <c:v>37.862499999999997</c:v>
                </c:pt>
                <c:pt idx="19">
                  <c:v>38.362499999999997</c:v>
                </c:pt>
                <c:pt idx="20">
                  <c:v>38.862499999999997</c:v>
                </c:pt>
                <c:pt idx="21">
                  <c:v>39.862499999999997</c:v>
                </c:pt>
              </c:numCache>
            </c:numRef>
          </c:xVal>
          <c:yVal>
            <c:numRef>
              <c:f>'1'!$F$13:$F$50</c:f>
              <c:numCache>
                <c:formatCode>General</c:formatCode>
                <c:ptCount val="38"/>
                <c:pt idx="0">
                  <c:v>358.8</c:v>
                </c:pt>
                <c:pt idx="1">
                  <c:v>279.39999999999998</c:v>
                </c:pt>
                <c:pt idx="2">
                  <c:v>230.5</c:v>
                </c:pt>
                <c:pt idx="3">
                  <c:v>189.2</c:v>
                </c:pt>
                <c:pt idx="4">
                  <c:v>176.5</c:v>
                </c:pt>
                <c:pt idx="5">
                  <c:v>171</c:v>
                </c:pt>
                <c:pt idx="6">
                  <c:v>153.5</c:v>
                </c:pt>
                <c:pt idx="7">
                  <c:v>144.4</c:v>
                </c:pt>
                <c:pt idx="8">
                  <c:v>139.19999999999999</c:v>
                </c:pt>
                <c:pt idx="9">
                  <c:v>138.5</c:v>
                </c:pt>
                <c:pt idx="10">
                  <c:v>141.9</c:v>
                </c:pt>
                <c:pt idx="11">
                  <c:v>147.5</c:v>
                </c:pt>
                <c:pt idx="12">
                  <c:v>156.6</c:v>
                </c:pt>
                <c:pt idx="13">
                  <c:v>168.2</c:v>
                </c:pt>
                <c:pt idx="14">
                  <c:v>181.6</c:v>
                </c:pt>
                <c:pt idx="15">
                  <c:v>194.8</c:v>
                </c:pt>
                <c:pt idx="16">
                  <c:v>176</c:v>
                </c:pt>
                <c:pt idx="17">
                  <c:v>217.5</c:v>
                </c:pt>
                <c:pt idx="18">
                  <c:v>230.2</c:v>
                </c:pt>
                <c:pt idx="19">
                  <c:v>257.10000000000002</c:v>
                </c:pt>
                <c:pt idx="20">
                  <c:v>284.7</c:v>
                </c:pt>
                <c:pt idx="21">
                  <c:v>342.3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F8-4785-A6AE-D1DFF711F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26912"/>
        <c:axId val="49928832"/>
      </c:scatterChart>
      <c:valAx>
        <c:axId val="49926912"/>
        <c:scaling>
          <c:orientation val="minMax"/>
          <c:max val="41"/>
          <c:min val="32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Distance end of BE05M-C [cm]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928832"/>
        <c:crosses val="autoZero"/>
        <c:crossBetween val="midCat"/>
      </c:valAx>
      <c:valAx>
        <c:axId val="499288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1/e^2 width [um]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926912"/>
        <c:crosses val="autoZero"/>
        <c:crossBetween val="midCat"/>
        <c:majorUnit val="20"/>
      </c:valAx>
    </c:plotArea>
    <c:legend>
      <c:legendPos val="r"/>
      <c:layout>
        <c:manualLayout>
          <c:xMode val="edge"/>
          <c:yMode val="edge"/>
          <c:x val="0.72698567529805047"/>
          <c:y val="0.62787674114099168"/>
          <c:w val="0.17095901754577097"/>
          <c:h val="0.15688978702585721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txPr>
    <a:bodyPr/>
    <a:lstStyle/>
    <a:p>
      <a:pPr>
        <a:defRPr sz="1200"/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40</xdr:row>
      <xdr:rowOff>104775</xdr:rowOff>
    </xdr:from>
    <xdr:to>
      <xdr:col>13</xdr:col>
      <xdr:colOff>2324100</xdr:colOff>
      <xdr:row>67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"/>
  <sheetViews>
    <sheetView topLeftCell="A13" zoomScaleNormal="100" workbookViewId="0">
      <selection activeCell="A13" sqref="A13:G34"/>
    </sheetView>
  </sheetViews>
  <sheetFormatPr defaultColWidth="17.109375" defaultRowHeight="12.75" customHeight="1" x14ac:dyDescent="0.25"/>
  <cols>
    <col min="1" max="1" width="18.33203125" bestFit="1" customWidth="1"/>
    <col min="2" max="2" width="9.44140625" bestFit="1" customWidth="1"/>
    <col min="3" max="3" width="8.6640625" bestFit="1" customWidth="1"/>
    <col min="4" max="4" width="12.44140625" bestFit="1" customWidth="1"/>
    <col min="5" max="5" width="15.109375" bestFit="1" customWidth="1"/>
    <col min="6" max="6" width="13.109375" bestFit="1" customWidth="1"/>
    <col min="7" max="7" width="15.6640625" bestFit="1" customWidth="1"/>
    <col min="8" max="8" width="12.44140625" bestFit="1" customWidth="1"/>
    <col min="9" max="9" width="15.109375" bestFit="1" customWidth="1"/>
    <col min="10" max="10" width="13.109375" bestFit="1" customWidth="1"/>
    <col min="11" max="11" width="15.6640625" bestFit="1" customWidth="1"/>
    <col min="12" max="13" width="11.5546875" bestFit="1" customWidth="1"/>
    <col min="14" max="14" width="54" customWidth="1"/>
    <col min="18" max="18" width="38.5546875" customWidth="1"/>
  </cols>
  <sheetData>
    <row r="1" spans="1:14" ht="13.2" x14ac:dyDescent="0.25">
      <c r="A1" s="2" t="s">
        <v>0</v>
      </c>
      <c r="B1" s="32">
        <v>42955</v>
      </c>
      <c r="C1" s="32"/>
      <c r="D1" s="32"/>
      <c r="E1" s="32"/>
      <c r="F1" s="32"/>
      <c r="G1" s="32"/>
    </row>
    <row r="2" spans="1:14" ht="13.2" x14ac:dyDescent="0.25">
      <c r="A2" s="2" t="s">
        <v>1</v>
      </c>
      <c r="B2" s="33" t="s">
        <v>23</v>
      </c>
      <c r="C2" s="33"/>
      <c r="D2" s="33"/>
      <c r="E2" s="33"/>
      <c r="F2" s="33"/>
      <c r="G2" s="33"/>
    </row>
    <row r="3" spans="1:14" ht="13.2" x14ac:dyDescent="0.25">
      <c r="A3" s="2" t="s">
        <v>2</v>
      </c>
      <c r="B3" s="34"/>
      <c r="C3" s="34"/>
      <c r="D3" s="34"/>
      <c r="E3" s="34"/>
      <c r="F3" s="34"/>
      <c r="G3" s="34"/>
    </row>
    <row r="4" spans="1:14" ht="13.2" x14ac:dyDescent="0.25">
      <c r="A4" s="2" t="s">
        <v>4</v>
      </c>
      <c r="B4" s="14">
        <v>1064</v>
      </c>
    </row>
    <row r="5" spans="1:14" ht="13.2" x14ac:dyDescent="0.25">
      <c r="A5" s="2" t="s">
        <v>7</v>
      </c>
      <c r="B5" s="14"/>
    </row>
    <row r="6" spans="1:14" ht="13.2" x14ac:dyDescent="0.25">
      <c r="A6" s="2" t="s">
        <v>8</v>
      </c>
      <c r="B6" s="14"/>
    </row>
    <row r="7" spans="1:14" ht="13.2" x14ac:dyDescent="0.25">
      <c r="A7" s="2" t="s">
        <v>9</v>
      </c>
      <c r="B7" s="13" t="s">
        <v>14</v>
      </c>
    </row>
    <row r="8" spans="1:14" ht="13.2" x14ac:dyDescent="0.25">
      <c r="A8" s="2" t="s">
        <v>12</v>
      </c>
      <c r="B8" s="13"/>
    </row>
    <row r="9" spans="1:14" ht="101.25" customHeight="1" x14ac:dyDescent="0.25">
      <c r="A9" s="2" t="s">
        <v>3</v>
      </c>
      <c r="B9" s="33" t="s">
        <v>24</v>
      </c>
      <c r="C9" s="34"/>
      <c r="D9" s="34"/>
      <c r="E9" s="34"/>
      <c r="F9" s="34"/>
      <c r="G9" s="34"/>
    </row>
    <row r="11" spans="1:14" ht="12.75" customHeight="1" x14ac:dyDescent="0.25">
      <c r="A11" s="7"/>
      <c r="B11" s="29" t="s">
        <v>6</v>
      </c>
      <c r="C11" s="31"/>
      <c r="D11" s="29" t="s">
        <v>15</v>
      </c>
      <c r="E11" s="30"/>
      <c r="F11" s="30"/>
      <c r="G11" s="31"/>
      <c r="H11" s="29" t="s">
        <v>16</v>
      </c>
      <c r="I11" s="30"/>
      <c r="J11" s="30"/>
      <c r="K11" s="31"/>
      <c r="L11" s="29" t="s">
        <v>13</v>
      </c>
      <c r="M11" s="31"/>
      <c r="N11" s="8"/>
    </row>
    <row r="12" spans="1:14" ht="26.4" x14ac:dyDescent="0.25">
      <c r="A12" s="18" t="s">
        <v>5</v>
      </c>
      <c r="B12" s="9" t="s">
        <v>10</v>
      </c>
      <c r="C12" s="10" t="s">
        <v>11</v>
      </c>
      <c r="D12" s="9" t="s">
        <v>19</v>
      </c>
      <c r="E12" s="11" t="s">
        <v>20</v>
      </c>
      <c r="F12" s="11" t="s">
        <v>17</v>
      </c>
      <c r="G12" s="10" t="s">
        <v>18</v>
      </c>
      <c r="H12" s="9" t="s">
        <v>19</v>
      </c>
      <c r="I12" s="11" t="s">
        <v>20</v>
      </c>
      <c r="J12" s="11" t="s">
        <v>17</v>
      </c>
      <c r="K12" s="10" t="s">
        <v>18</v>
      </c>
      <c r="L12" s="9" t="s">
        <v>21</v>
      </c>
      <c r="M12" s="10" t="s">
        <v>22</v>
      </c>
      <c r="N12" s="18" t="s">
        <v>3</v>
      </c>
    </row>
    <row r="13" spans="1:14" ht="12.75" customHeight="1" x14ac:dyDescent="0.25">
      <c r="A13" s="22">
        <v>190</v>
      </c>
      <c r="B13" s="24">
        <f>(92+1+(9.8-3.8))+A13+(76/2+1.625)</f>
        <v>328.625</v>
      </c>
      <c r="C13" s="25">
        <f t="shared" ref="C13:C28" si="0">B13/10</f>
        <v>32.862499999999997</v>
      </c>
      <c r="D13" s="22">
        <v>425.5</v>
      </c>
      <c r="E13" s="26">
        <v>5</v>
      </c>
      <c r="F13" s="25">
        <v>358.8</v>
      </c>
      <c r="G13" s="26">
        <v>5</v>
      </c>
      <c r="H13" s="22"/>
      <c r="I13" s="26"/>
      <c r="J13" s="25"/>
      <c r="K13" s="26"/>
      <c r="L13" s="24" t="e">
        <f t="shared" ref="L13:L24" si="1">H13/J13</f>
        <v>#DIV/0!</v>
      </c>
      <c r="M13" s="27" t="e">
        <f t="shared" ref="M13:M24" si="2">J13/H13</f>
        <v>#DIV/0!</v>
      </c>
      <c r="N13" s="19"/>
    </row>
    <row r="14" spans="1:14" ht="12.75" customHeight="1" x14ac:dyDescent="0.25">
      <c r="A14" s="5">
        <v>200</v>
      </c>
      <c r="B14" s="15">
        <f t="shared" ref="B14:B34" si="3">(92+1+(9.8-3.8))+A14+(76/2+1.625)</f>
        <v>338.625</v>
      </c>
      <c r="C14" s="3">
        <f t="shared" si="0"/>
        <v>33.862499999999997</v>
      </c>
      <c r="D14" s="5">
        <v>332.7</v>
      </c>
      <c r="E14" s="17">
        <v>5</v>
      </c>
      <c r="F14" s="3">
        <v>279.39999999999998</v>
      </c>
      <c r="G14" s="17">
        <v>5</v>
      </c>
      <c r="H14" s="5"/>
      <c r="I14" s="17"/>
      <c r="J14" s="3"/>
      <c r="K14" s="17"/>
      <c r="L14" s="15" t="e">
        <f t="shared" si="1"/>
        <v>#DIV/0!</v>
      </c>
      <c r="M14" s="16" t="e">
        <f t="shared" si="2"/>
        <v>#DIV/0!</v>
      </c>
      <c r="N14" s="20"/>
    </row>
    <row r="15" spans="1:14" ht="12.75" customHeight="1" x14ac:dyDescent="0.25">
      <c r="A15" s="5">
        <v>205</v>
      </c>
      <c r="B15" s="15">
        <f t="shared" si="3"/>
        <v>343.625</v>
      </c>
      <c r="C15" s="3">
        <f t="shared" si="0"/>
        <v>34.362499999999997</v>
      </c>
      <c r="D15" s="5">
        <v>277.7</v>
      </c>
      <c r="E15" s="17">
        <v>5</v>
      </c>
      <c r="F15" s="3">
        <v>230.5</v>
      </c>
      <c r="G15" s="17">
        <v>5</v>
      </c>
      <c r="H15" s="5"/>
      <c r="I15" s="17"/>
      <c r="J15" s="3"/>
      <c r="K15" s="17"/>
      <c r="L15" s="15" t="e">
        <f t="shared" si="1"/>
        <v>#DIV/0!</v>
      </c>
      <c r="M15" s="16" t="e">
        <f t="shared" si="2"/>
        <v>#DIV/0!</v>
      </c>
      <c r="N15" s="20"/>
    </row>
    <row r="16" spans="1:14" ht="12.75" customHeight="1" x14ac:dyDescent="0.25">
      <c r="A16" s="5">
        <v>210</v>
      </c>
      <c r="B16" s="15">
        <f t="shared" si="3"/>
        <v>348.625</v>
      </c>
      <c r="C16" s="3">
        <f t="shared" si="0"/>
        <v>34.862499999999997</v>
      </c>
      <c r="D16" s="5">
        <v>223.6</v>
      </c>
      <c r="E16" s="17">
        <v>5</v>
      </c>
      <c r="F16" s="3">
        <v>189.2</v>
      </c>
      <c r="G16" s="17">
        <v>5</v>
      </c>
      <c r="H16" s="5"/>
      <c r="I16" s="17"/>
      <c r="J16" s="3"/>
      <c r="K16" s="17"/>
      <c r="L16" s="15" t="e">
        <f t="shared" si="1"/>
        <v>#DIV/0!</v>
      </c>
      <c r="M16" s="16" t="e">
        <f t="shared" si="2"/>
        <v>#DIV/0!</v>
      </c>
      <c r="N16" s="20"/>
    </row>
    <row r="17" spans="1:14" ht="12.75" customHeight="1" x14ac:dyDescent="0.25">
      <c r="A17" s="5">
        <v>212</v>
      </c>
      <c r="B17" s="15">
        <f t="shared" si="3"/>
        <v>350.625</v>
      </c>
      <c r="C17" s="17">
        <f t="shared" si="0"/>
        <v>35.0625</v>
      </c>
      <c r="D17" s="15">
        <v>204.8</v>
      </c>
      <c r="E17" s="17">
        <v>5</v>
      </c>
      <c r="F17" s="17">
        <v>176.5</v>
      </c>
      <c r="G17" s="17">
        <v>5</v>
      </c>
      <c r="H17" s="15"/>
      <c r="I17" s="17"/>
      <c r="J17" s="17"/>
      <c r="K17" s="17"/>
      <c r="L17" s="15" t="e">
        <f t="shared" si="1"/>
        <v>#DIV/0!</v>
      </c>
      <c r="M17" s="16" t="e">
        <f t="shared" si="2"/>
        <v>#DIV/0!</v>
      </c>
      <c r="N17" s="20"/>
    </row>
    <row r="18" spans="1:14" ht="12.75" customHeight="1" x14ac:dyDescent="0.25">
      <c r="A18" s="5">
        <v>214</v>
      </c>
      <c r="B18" s="15">
        <f t="shared" si="3"/>
        <v>352.625</v>
      </c>
      <c r="C18" s="17">
        <f t="shared" si="0"/>
        <v>35.262500000000003</v>
      </c>
      <c r="D18" s="15">
        <v>195.5</v>
      </c>
      <c r="E18" s="17">
        <v>5</v>
      </c>
      <c r="F18" s="17">
        <v>171</v>
      </c>
      <c r="G18" s="17">
        <v>5</v>
      </c>
      <c r="H18" s="15"/>
      <c r="I18" s="17"/>
      <c r="J18" s="17"/>
      <c r="K18" s="17"/>
      <c r="L18" s="15" t="e">
        <f t="shared" si="1"/>
        <v>#DIV/0!</v>
      </c>
      <c r="M18" s="16" t="e">
        <f t="shared" si="2"/>
        <v>#DIV/0!</v>
      </c>
      <c r="N18" s="20"/>
    </row>
    <row r="19" spans="1:14" ht="12.75" customHeight="1" x14ac:dyDescent="0.25">
      <c r="A19" s="5">
        <v>216</v>
      </c>
      <c r="B19" s="15">
        <f t="shared" si="3"/>
        <v>354.625</v>
      </c>
      <c r="C19" s="3">
        <f t="shared" si="0"/>
        <v>35.462499999999999</v>
      </c>
      <c r="D19" s="5">
        <v>169.7</v>
      </c>
      <c r="E19" s="17">
        <v>5</v>
      </c>
      <c r="F19" s="3">
        <v>153.5</v>
      </c>
      <c r="G19" s="17">
        <v>5</v>
      </c>
      <c r="H19" s="5"/>
      <c r="I19" s="17"/>
      <c r="J19" s="3"/>
      <c r="K19" s="17"/>
      <c r="L19" s="15" t="e">
        <f t="shared" si="1"/>
        <v>#DIV/0!</v>
      </c>
      <c r="M19" s="16" t="e">
        <f t="shared" si="2"/>
        <v>#DIV/0!</v>
      </c>
      <c r="N19" s="20"/>
    </row>
    <row r="20" spans="1:14" ht="12.75" customHeight="1" x14ac:dyDescent="0.25">
      <c r="A20" s="5">
        <v>218</v>
      </c>
      <c r="B20" s="15">
        <f t="shared" si="3"/>
        <v>356.625</v>
      </c>
      <c r="C20" s="3">
        <f t="shared" si="0"/>
        <v>35.662500000000001</v>
      </c>
      <c r="D20" s="5">
        <v>154.30000000000001</v>
      </c>
      <c r="E20" s="17">
        <v>5</v>
      </c>
      <c r="F20" s="3">
        <v>144.4</v>
      </c>
      <c r="G20" s="17">
        <v>5</v>
      </c>
      <c r="H20" s="5"/>
      <c r="I20" s="17"/>
      <c r="J20" s="3"/>
      <c r="K20" s="17"/>
      <c r="L20" s="15" t="e">
        <f t="shared" si="1"/>
        <v>#DIV/0!</v>
      </c>
      <c r="M20" s="16" t="e">
        <f t="shared" si="2"/>
        <v>#DIV/0!</v>
      </c>
      <c r="N20" s="20"/>
    </row>
    <row r="21" spans="1:14" ht="12.75" customHeight="1" x14ac:dyDescent="0.25">
      <c r="A21" s="5">
        <v>220</v>
      </c>
      <c r="B21" s="15">
        <f t="shared" si="3"/>
        <v>358.625</v>
      </c>
      <c r="C21" s="3">
        <f t="shared" si="0"/>
        <v>35.862499999999997</v>
      </c>
      <c r="D21" s="5">
        <v>141.19999999999999</v>
      </c>
      <c r="E21" s="17">
        <v>5</v>
      </c>
      <c r="F21" s="3">
        <v>139.19999999999999</v>
      </c>
      <c r="G21" s="17">
        <v>5</v>
      </c>
      <c r="H21" s="5"/>
      <c r="I21" s="17"/>
      <c r="J21" s="3"/>
      <c r="K21" s="17"/>
      <c r="L21" s="15" t="e">
        <f t="shared" si="1"/>
        <v>#DIV/0!</v>
      </c>
      <c r="M21" s="16" t="e">
        <f t="shared" si="2"/>
        <v>#DIV/0!</v>
      </c>
      <c r="N21" s="20"/>
    </row>
    <row r="22" spans="1:14" ht="12.75" customHeight="1" x14ac:dyDescent="0.25">
      <c r="A22" s="5">
        <v>222</v>
      </c>
      <c r="B22" s="15">
        <f t="shared" si="3"/>
        <v>360.625</v>
      </c>
      <c r="C22" s="3">
        <f t="shared" si="0"/>
        <v>36.0625</v>
      </c>
      <c r="D22" s="5">
        <v>131.4</v>
      </c>
      <c r="E22" s="17">
        <v>5</v>
      </c>
      <c r="F22" s="3">
        <v>138.5</v>
      </c>
      <c r="G22" s="17">
        <v>5</v>
      </c>
      <c r="H22" s="5"/>
      <c r="I22" s="17"/>
      <c r="J22" s="3"/>
      <c r="K22" s="17"/>
      <c r="L22" s="15" t="e">
        <f t="shared" si="1"/>
        <v>#DIV/0!</v>
      </c>
      <c r="M22" s="16" t="e">
        <f t="shared" si="2"/>
        <v>#DIV/0!</v>
      </c>
      <c r="N22" s="20"/>
    </row>
    <row r="23" spans="1:14" ht="12.75" customHeight="1" x14ac:dyDescent="0.25">
      <c r="A23" s="5">
        <v>224</v>
      </c>
      <c r="B23" s="15">
        <f t="shared" si="3"/>
        <v>362.625</v>
      </c>
      <c r="C23" s="3">
        <f t="shared" si="0"/>
        <v>36.262500000000003</v>
      </c>
      <c r="D23" s="5">
        <v>126.3</v>
      </c>
      <c r="E23" s="17">
        <v>5</v>
      </c>
      <c r="F23" s="3">
        <v>141.9</v>
      </c>
      <c r="G23" s="17">
        <v>5</v>
      </c>
      <c r="H23" s="5"/>
      <c r="I23" s="17"/>
      <c r="J23" s="3"/>
      <c r="K23" s="17"/>
      <c r="L23" s="15" t="e">
        <f t="shared" si="1"/>
        <v>#DIV/0!</v>
      </c>
      <c r="M23" s="16" t="e">
        <f t="shared" si="2"/>
        <v>#DIV/0!</v>
      </c>
      <c r="N23" s="20"/>
    </row>
    <row r="24" spans="1:14" ht="12.75" customHeight="1" x14ac:dyDescent="0.25">
      <c r="A24" s="5">
        <v>226</v>
      </c>
      <c r="B24" s="15">
        <f t="shared" si="3"/>
        <v>364.625</v>
      </c>
      <c r="C24" s="3">
        <f t="shared" si="0"/>
        <v>36.462499999999999</v>
      </c>
      <c r="D24" s="5">
        <v>126.5</v>
      </c>
      <c r="E24" s="17">
        <v>5</v>
      </c>
      <c r="F24" s="3">
        <v>147.5</v>
      </c>
      <c r="G24" s="17">
        <v>5</v>
      </c>
      <c r="H24" s="5"/>
      <c r="I24" s="17"/>
      <c r="J24" s="3"/>
      <c r="K24" s="17"/>
      <c r="L24" s="15" t="e">
        <f t="shared" si="1"/>
        <v>#DIV/0!</v>
      </c>
      <c r="M24" s="16" t="e">
        <f t="shared" si="2"/>
        <v>#DIV/0!</v>
      </c>
      <c r="N24" s="20"/>
    </row>
    <row r="25" spans="1:14" ht="12.75" customHeight="1" x14ac:dyDescent="0.25">
      <c r="A25" s="5">
        <v>228</v>
      </c>
      <c r="B25" s="5">
        <f t="shared" si="3"/>
        <v>366.625</v>
      </c>
      <c r="C25" s="3">
        <f t="shared" si="0"/>
        <v>36.662500000000001</v>
      </c>
      <c r="D25" s="5">
        <v>132.30000000000001</v>
      </c>
      <c r="E25" s="3">
        <v>5</v>
      </c>
      <c r="F25" s="3">
        <v>156.6</v>
      </c>
      <c r="G25" s="3">
        <v>5</v>
      </c>
      <c r="H25" s="5"/>
      <c r="I25" s="3"/>
      <c r="J25" s="3"/>
      <c r="K25" s="3"/>
      <c r="L25" s="15" t="e">
        <f t="shared" ref="L25:L34" si="4">H25/J25</f>
        <v>#DIV/0!</v>
      </c>
      <c r="M25" s="16" t="e">
        <f t="shared" ref="M25:M34" si="5">J25/H25</f>
        <v>#DIV/0!</v>
      </c>
      <c r="N25" s="20"/>
    </row>
    <row r="26" spans="1:14" ht="12.75" customHeight="1" x14ac:dyDescent="0.25">
      <c r="A26" s="5">
        <v>230</v>
      </c>
      <c r="B26" s="5">
        <f t="shared" si="3"/>
        <v>368.625</v>
      </c>
      <c r="C26" s="3">
        <f t="shared" si="0"/>
        <v>36.862499999999997</v>
      </c>
      <c r="D26" s="5">
        <v>141.19999999999999</v>
      </c>
      <c r="E26" s="3">
        <v>5</v>
      </c>
      <c r="F26" s="3">
        <v>168.2</v>
      </c>
      <c r="G26" s="3">
        <v>5</v>
      </c>
      <c r="H26" s="5"/>
      <c r="I26" s="3"/>
      <c r="J26" s="3"/>
      <c r="K26" s="3"/>
      <c r="L26" s="15" t="e">
        <f t="shared" si="4"/>
        <v>#DIV/0!</v>
      </c>
      <c r="M26" s="16" t="e">
        <f t="shared" si="5"/>
        <v>#DIV/0!</v>
      </c>
      <c r="N26" s="20"/>
    </row>
    <row r="27" spans="1:14" ht="12.75" customHeight="1" x14ac:dyDescent="0.25">
      <c r="A27" s="5">
        <v>232</v>
      </c>
      <c r="B27" s="5">
        <f t="shared" si="3"/>
        <v>370.625</v>
      </c>
      <c r="C27" s="3">
        <f t="shared" si="0"/>
        <v>37.0625</v>
      </c>
      <c r="D27" s="5">
        <v>152.1</v>
      </c>
      <c r="E27" s="3">
        <v>5</v>
      </c>
      <c r="F27" s="3">
        <v>181.6</v>
      </c>
      <c r="G27" s="3">
        <v>5</v>
      </c>
      <c r="H27" s="5"/>
      <c r="I27" s="3"/>
      <c r="J27" s="3"/>
      <c r="K27" s="3"/>
      <c r="L27" s="15" t="e">
        <f t="shared" si="4"/>
        <v>#DIV/0!</v>
      </c>
      <c r="M27" s="16" t="e">
        <f t="shared" si="5"/>
        <v>#DIV/0!</v>
      </c>
      <c r="N27" s="20"/>
    </row>
    <row r="28" spans="1:14" ht="12.75" customHeight="1" x14ac:dyDescent="0.25">
      <c r="A28" s="5">
        <v>234</v>
      </c>
      <c r="B28" s="5">
        <f t="shared" si="3"/>
        <v>372.625</v>
      </c>
      <c r="C28" s="3">
        <f t="shared" si="0"/>
        <v>37.262500000000003</v>
      </c>
      <c r="D28" s="5">
        <v>164.9</v>
      </c>
      <c r="E28" s="3">
        <v>5</v>
      </c>
      <c r="F28" s="3">
        <v>194.8</v>
      </c>
      <c r="G28" s="3">
        <v>5</v>
      </c>
      <c r="H28" s="5"/>
      <c r="I28" s="3"/>
      <c r="J28" s="3"/>
      <c r="K28" s="3"/>
      <c r="L28" s="15" t="e">
        <f t="shared" si="4"/>
        <v>#DIV/0!</v>
      </c>
      <c r="M28" s="16" t="e">
        <f t="shared" si="5"/>
        <v>#DIV/0!</v>
      </c>
      <c r="N28" s="20"/>
    </row>
    <row r="29" spans="1:14" ht="12.75" customHeight="1" x14ac:dyDescent="0.25">
      <c r="A29" s="23">
        <v>236</v>
      </c>
      <c r="B29" s="5">
        <f t="shared" si="3"/>
        <v>374.625</v>
      </c>
      <c r="C29" s="3">
        <f t="shared" ref="C29:C34" si="6">B29/10</f>
        <v>37.462499999999999</v>
      </c>
      <c r="D29" s="5">
        <v>206.1</v>
      </c>
      <c r="E29" s="3">
        <v>5</v>
      </c>
      <c r="F29" s="3">
        <v>176</v>
      </c>
      <c r="G29" s="3">
        <v>5</v>
      </c>
      <c r="H29" s="5"/>
      <c r="I29" s="3"/>
      <c r="J29" s="3"/>
      <c r="K29" s="3"/>
      <c r="L29" s="15" t="e">
        <f t="shared" si="4"/>
        <v>#DIV/0!</v>
      </c>
      <c r="M29" s="16" t="e">
        <f t="shared" si="5"/>
        <v>#DIV/0!</v>
      </c>
      <c r="N29" s="20"/>
    </row>
    <row r="30" spans="1:14" ht="12.75" customHeight="1" x14ac:dyDescent="0.25">
      <c r="A30" s="5">
        <v>238</v>
      </c>
      <c r="B30" s="5">
        <f t="shared" si="3"/>
        <v>376.625</v>
      </c>
      <c r="C30" s="3">
        <f t="shared" si="6"/>
        <v>37.662500000000001</v>
      </c>
      <c r="D30" s="5">
        <v>189.5</v>
      </c>
      <c r="E30" s="3">
        <v>5</v>
      </c>
      <c r="F30" s="3">
        <v>217.5</v>
      </c>
      <c r="G30" s="3">
        <v>5</v>
      </c>
      <c r="H30" s="5"/>
      <c r="I30" s="3"/>
      <c r="J30" s="3"/>
      <c r="K30" s="3"/>
      <c r="L30" s="15" t="e">
        <f t="shared" si="4"/>
        <v>#DIV/0!</v>
      </c>
      <c r="M30" s="16" t="e">
        <f t="shared" si="5"/>
        <v>#DIV/0!</v>
      </c>
      <c r="N30" s="20"/>
    </row>
    <row r="31" spans="1:14" ht="12.75" customHeight="1" x14ac:dyDescent="0.25">
      <c r="A31" s="5">
        <v>240</v>
      </c>
      <c r="B31" s="5">
        <f t="shared" si="3"/>
        <v>378.625</v>
      </c>
      <c r="C31" s="3">
        <f t="shared" si="6"/>
        <v>37.862499999999997</v>
      </c>
      <c r="D31" s="5">
        <v>202.2</v>
      </c>
      <c r="E31" s="3">
        <v>5</v>
      </c>
      <c r="F31" s="3">
        <v>230.2</v>
      </c>
      <c r="G31" s="3">
        <v>5</v>
      </c>
      <c r="H31" s="5"/>
      <c r="I31" s="3"/>
      <c r="J31" s="3"/>
      <c r="K31" s="3"/>
      <c r="L31" s="15" t="e">
        <f t="shared" si="4"/>
        <v>#DIV/0!</v>
      </c>
      <c r="M31" s="16" t="e">
        <f t="shared" si="5"/>
        <v>#DIV/0!</v>
      </c>
      <c r="N31" s="20"/>
    </row>
    <row r="32" spans="1:14" ht="12.75" customHeight="1" x14ac:dyDescent="0.25">
      <c r="A32" s="5">
        <v>245</v>
      </c>
      <c r="B32" s="5">
        <f t="shared" si="3"/>
        <v>383.625</v>
      </c>
      <c r="C32" s="3">
        <f t="shared" si="6"/>
        <v>38.362499999999997</v>
      </c>
      <c r="D32" s="5">
        <v>231</v>
      </c>
      <c r="E32" s="3">
        <v>5</v>
      </c>
      <c r="F32" s="3">
        <v>257.10000000000002</v>
      </c>
      <c r="G32" s="3">
        <v>5</v>
      </c>
      <c r="H32" s="5"/>
      <c r="I32" s="3"/>
      <c r="J32" s="3"/>
      <c r="K32" s="3"/>
      <c r="L32" s="15" t="e">
        <f t="shared" si="4"/>
        <v>#DIV/0!</v>
      </c>
      <c r="M32" s="16" t="e">
        <f t="shared" si="5"/>
        <v>#DIV/0!</v>
      </c>
      <c r="N32" s="20"/>
    </row>
    <row r="33" spans="1:14" ht="12.75" customHeight="1" x14ac:dyDescent="0.25">
      <c r="A33" s="5">
        <v>250</v>
      </c>
      <c r="B33" s="5">
        <f t="shared" si="3"/>
        <v>388.625</v>
      </c>
      <c r="C33" s="3">
        <f t="shared" si="6"/>
        <v>38.862499999999997</v>
      </c>
      <c r="D33" s="5">
        <v>260.8</v>
      </c>
      <c r="E33" s="3">
        <v>5</v>
      </c>
      <c r="F33" s="3">
        <v>284.7</v>
      </c>
      <c r="G33" s="3">
        <v>5</v>
      </c>
      <c r="H33" s="5"/>
      <c r="I33" s="3"/>
      <c r="J33" s="3"/>
      <c r="K33" s="3"/>
      <c r="L33" s="15" t="e">
        <f t="shared" si="4"/>
        <v>#DIV/0!</v>
      </c>
      <c r="M33" s="16" t="e">
        <f t="shared" si="5"/>
        <v>#DIV/0!</v>
      </c>
      <c r="N33" s="20"/>
    </row>
    <row r="34" spans="1:14" ht="12.75" customHeight="1" x14ac:dyDescent="0.25">
      <c r="A34" s="6">
        <v>260</v>
      </c>
      <c r="B34" s="6">
        <f t="shared" si="3"/>
        <v>398.625</v>
      </c>
      <c r="C34" s="4">
        <f t="shared" si="6"/>
        <v>39.862499999999997</v>
      </c>
      <c r="D34" s="6">
        <v>333.3</v>
      </c>
      <c r="E34" s="4">
        <v>5</v>
      </c>
      <c r="F34" s="4">
        <v>342.3</v>
      </c>
      <c r="G34" s="4">
        <v>5</v>
      </c>
      <c r="H34" s="6"/>
      <c r="I34" s="4"/>
      <c r="J34" s="4"/>
      <c r="K34" s="4"/>
      <c r="L34" s="28" t="e">
        <f t="shared" si="4"/>
        <v>#DIV/0!</v>
      </c>
      <c r="M34" s="12" t="e">
        <f t="shared" si="5"/>
        <v>#DIV/0!</v>
      </c>
      <c r="N34" s="21"/>
    </row>
    <row r="37" spans="1:14" ht="12.75" customHeight="1" x14ac:dyDescent="0.25">
      <c r="A37" s="3"/>
    </row>
    <row r="38" spans="1:14" ht="12.75" customHeight="1" x14ac:dyDescent="0.25">
      <c r="A38" s="3"/>
    </row>
    <row r="39" spans="1:14" ht="12.75" customHeight="1" x14ac:dyDescent="0.25">
      <c r="B39" s="1"/>
    </row>
    <row r="40" spans="1:14" ht="12.75" customHeight="1" x14ac:dyDescent="0.25">
      <c r="B40" s="1"/>
    </row>
    <row r="41" spans="1:14" ht="12.75" customHeight="1" x14ac:dyDescent="0.25">
      <c r="B41" s="1"/>
    </row>
    <row r="42" spans="1:14" ht="12.75" customHeight="1" x14ac:dyDescent="0.25">
      <c r="B42" s="1"/>
    </row>
    <row r="43" spans="1:14" ht="12.75" customHeight="1" x14ac:dyDescent="0.25">
      <c r="B43" s="1"/>
    </row>
    <row r="44" spans="1:14" ht="12.75" customHeight="1" x14ac:dyDescent="0.25">
      <c r="B44" s="1"/>
    </row>
    <row r="45" spans="1:14" ht="12.75" customHeight="1" x14ac:dyDescent="0.25">
      <c r="B45" s="1"/>
    </row>
    <row r="46" spans="1:14" ht="12.75" customHeight="1" x14ac:dyDescent="0.25">
      <c r="B46" s="1"/>
    </row>
    <row r="47" spans="1:14" ht="12.75" customHeight="1" x14ac:dyDescent="0.25">
      <c r="B47" s="1"/>
    </row>
    <row r="63" spans="1:1" ht="12.75" customHeight="1" x14ac:dyDescent="0.25">
      <c r="A63" s="1"/>
    </row>
  </sheetData>
  <mergeCells count="8">
    <mergeCell ref="H11:K11"/>
    <mergeCell ref="L11:M11"/>
    <mergeCell ref="B1:G1"/>
    <mergeCell ref="B2:G2"/>
    <mergeCell ref="B3:G3"/>
    <mergeCell ref="B9:G9"/>
    <mergeCell ref="B11:C11"/>
    <mergeCell ref="D11:G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8C278-76DA-4E80-A214-7A3685D5D955}">
  <dimension ref="A1:G23"/>
  <sheetViews>
    <sheetView tabSelected="1" workbookViewId="0">
      <selection sqref="A1:G1"/>
    </sheetView>
  </sheetViews>
  <sheetFormatPr defaultRowHeight="13.2" x14ac:dyDescent="0.25"/>
  <sheetData>
    <row r="1" spans="1:7" ht="39.6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25">
      <c r="A2" s="22">
        <v>190</v>
      </c>
      <c r="B2" s="24">
        <f>(92+1+(9.8-3.8))+A2+(76/2+1.625)</f>
        <v>328.625</v>
      </c>
      <c r="C2" s="25">
        <f t="shared" ref="C2:C23" si="0">B2/10</f>
        <v>32.862499999999997</v>
      </c>
      <c r="D2" s="22">
        <v>425.5</v>
      </c>
      <c r="E2" s="26">
        <v>5</v>
      </c>
      <c r="F2" s="25">
        <v>358.8</v>
      </c>
      <c r="G2" s="26">
        <v>5</v>
      </c>
    </row>
    <row r="3" spans="1:7" x14ac:dyDescent="0.25">
      <c r="A3" s="5">
        <v>200</v>
      </c>
      <c r="B3" s="15">
        <f t="shared" ref="B3:B23" si="1">(92+1+(9.8-3.8))+A3+(76/2+1.625)</f>
        <v>338.625</v>
      </c>
      <c r="C3" s="3">
        <f t="shared" si="0"/>
        <v>33.862499999999997</v>
      </c>
      <c r="D3" s="5">
        <v>332.7</v>
      </c>
      <c r="E3" s="17">
        <v>5</v>
      </c>
      <c r="F3" s="3">
        <v>279.39999999999998</v>
      </c>
      <c r="G3" s="17">
        <v>5</v>
      </c>
    </row>
    <row r="4" spans="1:7" x14ac:dyDescent="0.25">
      <c r="A4" s="5">
        <v>205</v>
      </c>
      <c r="B4" s="15">
        <f t="shared" si="1"/>
        <v>343.625</v>
      </c>
      <c r="C4" s="3">
        <f t="shared" si="0"/>
        <v>34.362499999999997</v>
      </c>
      <c r="D4" s="5">
        <v>277.7</v>
      </c>
      <c r="E4" s="17">
        <v>5</v>
      </c>
      <c r="F4" s="3">
        <v>230.5</v>
      </c>
      <c r="G4" s="17">
        <v>5</v>
      </c>
    </row>
    <row r="5" spans="1:7" x14ac:dyDescent="0.25">
      <c r="A5" s="5">
        <v>210</v>
      </c>
      <c r="B5" s="15">
        <f t="shared" si="1"/>
        <v>348.625</v>
      </c>
      <c r="C5" s="3">
        <f t="shared" si="0"/>
        <v>34.862499999999997</v>
      </c>
      <c r="D5" s="5">
        <v>223.6</v>
      </c>
      <c r="E5" s="17">
        <v>5</v>
      </c>
      <c r="F5" s="3">
        <v>189.2</v>
      </c>
      <c r="G5" s="17">
        <v>5</v>
      </c>
    </row>
    <row r="6" spans="1:7" x14ac:dyDescent="0.25">
      <c r="A6" s="5">
        <v>212</v>
      </c>
      <c r="B6" s="15">
        <f t="shared" si="1"/>
        <v>350.625</v>
      </c>
      <c r="C6" s="17">
        <f t="shared" si="0"/>
        <v>35.0625</v>
      </c>
      <c r="D6" s="15">
        <v>204.8</v>
      </c>
      <c r="E6" s="17">
        <v>5</v>
      </c>
      <c r="F6" s="17">
        <v>176.5</v>
      </c>
      <c r="G6" s="17">
        <v>5</v>
      </c>
    </row>
    <row r="7" spans="1:7" x14ac:dyDescent="0.25">
      <c r="A7" s="5">
        <v>214</v>
      </c>
      <c r="B7" s="15">
        <f t="shared" si="1"/>
        <v>352.625</v>
      </c>
      <c r="C7" s="17">
        <f t="shared" si="0"/>
        <v>35.262500000000003</v>
      </c>
      <c r="D7" s="15">
        <v>195.5</v>
      </c>
      <c r="E7" s="17">
        <v>5</v>
      </c>
      <c r="F7" s="17">
        <v>171</v>
      </c>
      <c r="G7" s="17">
        <v>5</v>
      </c>
    </row>
    <row r="8" spans="1:7" x14ac:dyDescent="0.25">
      <c r="A8" s="5">
        <v>216</v>
      </c>
      <c r="B8" s="15">
        <f t="shared" si="1"/>
        <v>354.625</v>
      </c>
      <c r="C8" s="3">
        <f t="shared" si="0"/>
        <v>35.462499999999999</v>
      </c>
      <c r="D8" s="5">
        <v>169.7</v>
      </c>
      <c r="E8" s="17">
        <v>5</v>
      </c>
      <c r="F8" s="3">
        <v>153.5</v>
      </c>
      <c r="G8" s="17">
        <v>5</v>
      </c>
    </row>
    <row r="9" spans="1:7" x14ac:dyDescent="0.25">
      <c r="A9" s="5">
        <v>218</v>
      </c>
      <c r="B9" s="15">
        <f t="shared" si="1"/>
        <v>356.625</v>
      </c>
      <c r="C9" s="3">
        <f t="shared" si="0"/>
        <v>35.662500000000001</v>
      </c>
      <c r="D9" s="5">
        <v>154.30000000000001</v>
      </c>
      <c r="E9" s="17">
        <v>5</v>
      </c>
      <c r="F9" s="3">
        <v>144.4</v>
      </c>
      <c r="G9" s="17">
        <v>5</v>
      </c>
    </row>
    <row r="10" spans="1:7" x14ac:dyDescent="0.25">
      <c r="A10" s="5">
        <v>220</v>
      </c>
      <c r="B10" s="15">
        <f t="shared" si="1"/>
        <v>358.625</v>
      </c>
      <c r="C10" s="3">
        <f t="shared" si="0"/>
        <v>35.862499999999997</v>
      </c>
      <c r="D10" s="5">
        <v>141.19999999999999</v>
      </c>
      <c r="E10" s="17">
        <v>5</v>
      </c>
      <c r="F10" s="3">
        <v>139.19999999999999</v>
      </c>
      <c r="G10" s="17">
        <v>5</v>
      </c>
    </row>
    <row r="11" spans="1:7" x14ac:dyDescent="0.25">
      <c r="A11" s="5">
        <v>222</v>
      </c>
      <c r="B11" s="15">
        <f t="shared" si="1"/>
        <v>360.625</v>
      </c>
      <c r="C11" s="3">
        <f t="shared" si="0"/>
        <v>36.0625</v>
      </c>
      <c r="D11" s="5">
        <v>131.4</v>
      </c>
      <c r="E11" s="17">
        <v>5</v>
      </c>
      <c r="F11" s="3">
        <v>138.5</v>
      </c>
      <c r="G11" s="17">
        <v>5</v>
      </c>
    </row>
    <row r="12" spans="1:7" x14ac:dyDescent="0.25">
      <c r="A12" s="5">
        <v>224</v>
      </c>
      <c r="B12" s="15">
        <f t="shared" si="1"/>
        <v>362.625</v>
      </c>
      <c r="C12" s="3">
        <f t="shared" si="0"/>
        <v>36.262500000000003</v>
      </c>
      <c r="D12" s="5">
        <v>126.3</v>
      </c>
      <c r="E12" s="17">
        <v>5</v>
      </c>
      <c r="F12" s="3">
        <v>141.9</v>
      </c>
      <c r="G12" s="17">
        <v>5</v>
      </c>
    </row>
    <row r="13" spans="1:7" x14ac:dyDescent="0.25">
      <c r="A13" s="5">
        <v>226</v>
      </c>
      <c r="B13" s="15">
        <f t="shared" si="1"/>
        <v>364.625</v>
      </c>
      <c r="C13" s="3">
        <f t="shared" si="0"/>
        <v>36.462499999999999</v>
      </c>
      <c r="D13" s="5">
        <v>126.5</v>
      </c>
      <c r="E13" s="17">
        <v>5</v>
      </c>
      <c r="F13" s="3">
        <v>147.5</v>
      </c>
      <c r="G13" s="17">
        <v>5</v>
      </c>
    </row>
    <row r="14" spans="1:7" x14ac:dyDescent="0.25">
      <c r="A14" s="5">
        <v>228</v>
      </c>
      <c r="B14" s="5">
        <f t="shared" si="1"/>
        <v>366.625</v>
      </c>
      <c r="C14" s="3">
        <f t="shared" si="0"/>
        <v>36.662500000000001</v>
      </c>
      <c r="D14" s="5">
        <v>132.30000000000001</v>
      </c>
      <c r="E14" s="3">
        <v>5</v>
      </c>
      <c r="F14" s="3">
        <v>156.6</v>
      </c>
      <c r="G14" s="3">
        <v>5</v>
      </c>
    </row>
    <row r="15" spans="1:7" x14ac:dyDescent="0.25">
      <c r="A15" s="5">
        <v>230</v>
      </c>
      <c r="B15" s="5">
        <f t="shared" si="1"/>
        <v>368.625</v>
      </c>
      <c r="C15" s="3">
        <f t="shared" si="0"/>
        <v>36.862499999999997</v>
      </c>
      <c r="D15" s="5">
        <v>141.19999999999999</v>
      </c>
      <c r="E15" s="3">
        <v>5</v>
      </c>
      <c r="F15" s="3">
        <v>168.2</v>
      </c>
      <c r="G15" s="3">
        <v>5</v>
      </c>
    </row>
    <row r="16" spans="1:7" x14ac:dyDescent="0.25">
      <c r="A16" s="5">
        <v>232</v>
      </c>
      <c r="B16" s="5">
        <f t="shared" si="1"/>
        <v>370.625</v>
      </c>
      <c r="C16" s="3">
        <f t="shared" si="0"/>
        <v>37.0625</v>
      </c>
      <c r="D16" s="5">
        <v>152.1</v>
      </c>
      <c r="E16" s="3">
        <v>5</v>
      </c>
      <c r="F16" s="3">
        <v>181.6</v>
      </c>
      <c r="G16" s="3">
        <v>5</v>
      </c>
    </row>
    <row r="17" spans="1:7" x14ac:dyDescent="0.25">
      <c r="A17" s="5">
        <v>234</v>
      </c>
      <c r="B17" s="5">
        <f t="shared" si="1"/>
        <v>372.625</v>
      </c>
      <c r="C17" s="3">
        <f t="shared" si="0"/>
        <v>37.262500000000003</v>
      </c>
      <c r="D17" s="5">
        <v>164.9</v>
      </c>
      <c r="E17" s="3">
        <v>5</v>
      </c>
      <c r="F17" s="3">
        <v>194.8</v>
      </c>
      <c r="G17" s="3">
        <v>5</v>
      </c>
    </row>
    <row r="18" spans="1:7" x14ac:dyDescent="0.25">
      <c r="A18" s="23">
        <v>236</v>
      </c>
      <c r="B18" s="5">
        <f t="shared" si="1"/>
        <v>374.625</v>
      </c>
      <c r="C18" s="3">
        <f t="shared" si="0"/>
        <v>37.462499999999999</v>
      </c>
      <c r="D18" s="5">
        <v>206.1</v>
      </c>
      <c r="E18" s="3">
        <v>5</v>
      </c>
      <c r="F18" s="3">
        <v>176</v>
      </c>
      <c r="G18" s="3">
        <v>5</v>
      </c>
    </row>
    <row r="19" spans="1:7" x14ac:dyDescent="0.25">
      <c r="A19" s="5">
        <v>238</v>
      </c>
      <c r="B19" s="5">
        <f t="shared" si="1"/>
        <v>376.625</v>
      </c>
      <c r="C19" s="3">
        <f t="shared" si="0"/>
        <v>37.662500000000001</v>
      </c>
      <c r="D19" s="5">
        <v>189.5</v>
      </c>
      <c r="E19" s="3">
        <v>5</v>
      </c>
      <c r="F19" s="3">
        <v>217.5</v>
      </c>
      <c r="G19" s="3">
        <v>5</v>
      </c>
    </row>
    <row r="20" spans="1:7" x14ac:dyDescent="0.25">
      <c r="A20" s="5">
        <v>240</v>
      </c>
      <c r="B20" s="5">
        <f t="shared" si="1"/>
        <v>378.625</v>
      </c>
      <c r="C20" s="3">
        <f t="shared" si="0"/>
        <v>37.862499999999997</v>
      </c>
      <c r="D20" s="5">
        <v>202.2</v>
      </c>
      <c r="E20" s="3">
        <v>5</v>
      </c>
      <c r="F20" s="3">
        <v>230.2</v>
      </c>
      <c r="G20" s="3">
        <v>5</v>
      </c>
    </row>
    <row r="21" spans="1:7" x14ac:dyDescent="0.25">
      <c r="A21" s="5">
        <v>245</v>
      </c>
      <c r="B21" s="5">
        <f t="shared" si="1"/>
        <v>383.625</v>
      </c>
      <c r="C21" s="3">
        <f t="shared" si="0"/>
        <v>38.362499999999997</v>
      </c>
      <c r="D21" s="5">
        <v>231</v>
      </c>
      <c r="E21" s="3">
        <v>5</v>
      </c>
      <c r="F21" s="3">
        <v>257.10000000000002</v>
      </c>
      <c r="G21" s="3">
        <v>5</v>
      </c>
    </row>
    <row r="22" spans="1:7" x14ac:dyDescent="0.25">
      <c r="A22" s="5">
        <v>250</v>
      </c>
      <c r="B22" s="5">
        <f t="shared" si="1"/>
        <v>388.625</v>
      </c>
      <c r="C22" s="3">
        <f t="shared" si="0"/>
        <v>38.862499999999997</v>
      </c>
      <c r="D22" s="5">
        <v>260.8</v>
      </c>
      <c r="E22" s="3">
        <v>5</v>
      </c>
      <c r="F22" s="3">
        <v>284.7</v>
      </c>
      <c r="G22" s="3">
        <v>5</v>
      </c>
    </row>
    <row r="23" spans="1:7" x14ac:dyDescent="0.25">
      <c r="A23" s="6">
        <v>260</v>
      </c>
      <c r="B23" s="6">
        <f t="shared" si="1"/>
        <v>398.625</v>
      </c>
      <c r="C23" s="4">
        <f t="shared" si="0"/>
        <v>39.862499999999997</v>
      </c>
      <c r="D23" s="6">
        <v>333.3</v>
      </c>
      <c r="E23" s="4">
        <v>5</v>
      </c>
      <c r="F23" s="4">
        <v>342.3</v>
      </c>
      <c r="G23" s="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Roger Ding</cp:lastModifiedBy>
  <dcterms:modified xsi:type="dcterms:W3CDTF">2019-06-24T20:23:47Z</dcterms:modified>
</cp:coreProperties>
</file>