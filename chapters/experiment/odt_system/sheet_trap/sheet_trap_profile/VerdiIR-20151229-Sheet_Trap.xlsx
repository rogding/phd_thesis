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experiment\odt_system\sheet_trap\sheet_trap_profile\"/>
    </mc:Choice>
  </mc:AlternateContent>
  <xr:revisionPtr revIDLastSave="0" documentId="13_ncr:1_{2FDF87D5-A81F-41CF-A793-1291185330EB}" xr6:coauthVersionLast="43" xr6:coauthVersionMax="43" xr10:uidLastSave="{00000000-0000-0000-0000-000000000000}"/>
  <bookViews>
    <workbookView xWindow="-108" yWindow="-108" windowWidth="23256" windowHeight="12576" tabRatio="647" activeTab="1" xr2:uid="{00000000-000D-0000-FFFF-FFFF00000000}"/>
  </bookViews>
  <sheets>
    <sheet name="1" sheetId="72" r:id="rId1"/>
    <sheet name="Sheet1" sheetId="7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73" l="1"/>
  <c r="C21" i="73" s="1"/>
  <c r="B20" i="73"/>
  <c r="C20" i="73" s="1"/>
  <c r="B19" i="73"/>
  <c r="C19" i="73" s="1"/>
  <c r="B18" i="73"/>
  <c r="C18" i="73" s="1"/>
  <c r="B17" i="73"/>
  <c r="C17" i="73" s="1"/>
  <c r="B16" i="73"/>
  <c r="C16" i="73" s="1"/>
  <c r="B15" i="73"/>
  <c r="C15" i="73" s="1"/>
  <c r="B14" i="73"/>
  <c r="C14" i="73" s="1"/>
  <c r="B13" i="73"/>
  <c r="C13" i="73" s="1"/>
  <c r="B12" i="73"/>
  <c r="C12" i="73" s="1"/>
  <c r="B11" i="73"/>
  <c r="C11" i="73" s="1"/>
  <c r="B10" i="73"/>
  <c r="C10" i="73" s="1"/>
  <c r="B9" i="73"/>
  <c r="C9" i="73" s="1"/>
  <c r="B8" i="73"/>
  <c r="C8" i="73" s="1"/>
  <c r="B7" i="73"/>
  <c r="C7" i="73" s="1"/>
  <c r="B6" i="73"/>
  <c r="C6" i="73" s="1"/>
  <c r="B5" i="73"/>
  <c r="C5" i="73" s="1"/>
  <c r="B4" i="73"/>
  <c r="C4" i="73" s="1"/>
  <c r="B3" i="73"/>
  <c r="C3" i="73" s="1"/>
  <c r="B2" i="73"/>
  <c r="C2" i="73" s="1"/>
  <c r="B14" i="72" l="1"/>
  <c r="B15" i="72"/>
  <c r="B16" i="72"/>
  <c r="B17" i="72"/>
  <c r="B18" i="72"/>
  <c r="C18" i="72" s="1"/>
  <c r="B19" i="72"/>
  <c r="C19" i="72" s="1"/>
  <c r="B20" i="72"/>
  <c r="C20" i="72" s="1"/>
  <c r="B21" i="72"/>
  <c r="C21" i="72" s="1"/>
  <c r="B22" i="72"/>
  <c r="B23" i="72"/>
  <c r="B24" i="72"/>
  <c r="C24" i="72" s="1"/>
  <c r="B25" i="72"/>
  <c r="C25" i="72" s="1"/>
  <c r="B26" i="72"/>
  <c r="B27" i="72"/>
  <c r="C27" i="72" s="1"/>
  <c r="B28" i="72"/>
  <c r="C28" i="72" s="1"/>
  <c r="B29" i="72"/>
  <c r="C29" i="72" s="1"/>
  <c r="B30" i="72"/>
  <c r="B31" i="72"/>
  <c r="B32" i="72"/>
  <c r="C32" i="72" s="1"/>
  <c r="B13" i="72"/>
  <c r="C13" i="72" s="1"/>
  <c r="C26" i="72"/>
  <c r="L32" i="72"/>
  <c r="M32" i="72"/>
  <c r="L31" i="72"/>
  <c r="M31" i="72"/>
  <c r="C31" i="72"/>
  <c r="M13" i="72"/>
  <c r="L13" i="72"/>
  <c r="M30" i="72"/>
  <c r="L30" i="72"/>
  <c r="C30" i="72"/>
  <c r="M29" i="72"/>
  <c r="L29" i="72"/>
  <c r="M28" i="72"/>
  <c r="L28" i="72"/>
  <c r="M27" i="72"/>
  <c r="L27" i="72"/>
  <c r="M26" i="72"/>
  <c r="L26" i="72"/>
  <c r="M25" i="72"/>
  <c r="L25" i="72"/>
  <c r="M24" i="72"/>
  <c r="L24" i="72"/>
  <c r="M23" i="72"/>
  <c r="L23" i="72"/>
  <c r="C23" i="72"/>
  <c r="M22" i="72"/>
  <c r="L22" i="72"/>
  <c r="C22" i="72"/>
  <c r="M21" i="72"/>
  <c r="L21" i="72"/>
  <c r="M20" i="72"/>
  <c r="L20" i="72"/>
  <c r="M19" i="72"/>
  <c r="L19" i="72"/>
  <c r="M18" i="72"/>
  <c r="L18" i="72"/>
  <c r="M17" i="72"/>
  <c r="L17" i="72"/>
  <c r="C17" i="72"/>
  <c r="M16" i="72"/>
  <c r="L16" i="72"/>
  <c r="C16" i="72"/>
  <c r="M15" i="72"/>
  <c r="L15" i="72"/>
  <c r="C15" i="72"/>
  <c r="M14" i="72"/>
  <c r="L14" i="72"/>
  <c r="C14" i="72"/>
</calcChain>
</file>

<file path=xl/sharedStrings.xml><?xml version="1.0" encoding="utf-8"?>
<sst xmlns="http://schemas.openxmlformats.org/spreadsheetml/2006/main" count="41" uniqueCount="36">
  <si>
    <t>Date</t>
  </si>
  <si>
    <t>S/N</t>
  </si>
  <si>
    <t>Notes</t>
  </si>
  <si>
    <t>Lambda [nm]</t>
  </si>
  <si>
    <t>Track Dist [mm]</t>
  </si>
  <si>
    <t>Beam position on BM901 profiler</t>
  </si>
  <si>
    <t>Beam profile</t>
  </si>
  <si>
    <t>Calculated distances</t>
  </si>
  <si>
    <t>V/W</t>
  </si>
  <si>
    <t>W/V</t>
  </si>
  <si>
    <t>Attenuator</t>
  </si>
  <si>
    <t>Dist [mm]</t>
  </si>
  <si>
    <t>Dist [cm]</t>
  </si>
  <si>
    <t>V centroid [um]</t>
  </si>
  <si>
    <t>W centroid [um]</t>
  </si>
  <si>
    <t>Resolution</t>
  </si>
  <si>
    <t>Source</t>
  </si>
  <si>
    <t xml:space="preserve">HPUCO-T,3AHP-1060-S-6.2AS-UNL  </t>
  </si>
  <si>
    <t>191548-1</t>
  </si>
  <si>
    <t>1064 power on detector [mW]</t>
  </si>
  <si>
    <t>Profiler head angle [deg]</t>
  </si>
  <si>
    <t>NG4</t>
  </si>
  <si>
    <t>V width e^-2 [um]</t>
  </si>
  <si>
    <t>W width e^-2 [um]</t>
  </si>
  <si>
    <t>V std. dev. [um]</t>
  </si>
  <si>
    <t>W std. dev. [um]</t>
  </si>
  <si>
    <t>V centroid std. dev. [um]</t>
  </si>
  <si>
    <t>W centroid std. dev. [um]</t>
  </si>
  <si>
    <t>High</t>
  </si>
  <si>
    <t xml:space="preserve">Profile of output from the completed sheet trap cage system @ ~8.0 W out.
-Polarization key is aligned mostly downwards, collimator aligned for beam shape instead of polarization. 
-W is vertical, V is horizontal.
-Placed all 4 lenses.
-Distance measured from the end of the cage system (~10.75 in from front of collimator).
-Profiled V in high-res, then W in high-res.
-50 data points, no averaging. </t>
  </si>
  <si>
    <t>Double peak in vertical</t>
  </si>
  <si>
    <t>Triple peak in vertical</t>
  </si>
  <si>
    <t>Single vertical peak</t>
  </si>
  <si>
    <t>Track dist [mm]</t>
  </si>
  <si>
    <t>Calculated dist [mm]</t>
  </si>
  <si>
    <t>Calculated dist 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</si>
</sst>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'1'!$C$13:$C$100</c:f>
              <c:numCache>
                <c:formatCode>General</c:formatCode>
                <c:ptCount val="88"/>
                <c:pt idx="0">
                  <c:v>35.119999999999997</c:v>
                </c:pt>
                <c:pt idx="1">
                  <c:v>35.22</c:v>
                </c:pt>
                <c:pt idx="2">
                  <c:v>35.32</c:v>
                </c:pt>
                <c:pt idx="3">
                  <c:v>35.42</c:v>
                </c:pt>
                <c:pt idx="4">
                  <c:v>35.519999999999996</c:v>
                </c:pt>
                <c:pt idx="5">
                  <c:v>35.619999999999997</c:v>
                </c:pt>
                <c:pt idx="6">
                  <c:v>35.72</c:v>
                </c:pt>
                <c:pt idx="7">
                  <c:v>35.82</c:v>
                </c:pt>
                <c:pt idx="8">
                  <c:v>35.92</c:v>
                </c:pt>
                <c:pt idx="9">
                  <c:v>36.019999999999996</c:v>
                </c:pt>
                <c:pt idx="10">
                  <c:v>36.119999999999997</c:v>
                </c:pt>
                <c:pt idx="11">
                  <c:v>36.22</c:v>
                </c:pt>
                <c:pt idx="12">
                  <c:v>36.32</c:v>
                </c:pt>
                <c:pt idx="13">
                  <c:v>36.42</c:v>
                </c:pt>
                <c:pt idx="14">
                  <c:v>36.519999999999996</c:v>
                </c:pt>
                <c:pt idx="15">
                  <c:v>36.619999999999997</c:v>
                </c:pt>
                <c:pt idx="16">
                  <c:v>36.72</c:v>
                </c:pt>
                <c:pt idx="17">
                  <c:v>36.82</c:v>
                </c:pt>
                <c:pt idx="18">
                  <c:v>36.92</c:v>
                </c:pt>
                <c:pt idx="19">
                  <c:v>37.019999999999996</c:v>
                </c:pt>
              </c:numCache>
            </c:numRef>
          </c:xVal>
          <c:yVal>
            <c:numRef>
              <c:f>'1'!$D$13:$D$100</c:f>
              <c:numCache>
                <c:formatCode>General</c:formatCode>
                <c:ptCount val="88"/>
                <c:pt idx="0">
                  <c:v>516.97</c:v>
                </c:pt>
                <c:pt idx="1">
                  <c:v>516.89</c:v>
                </c:pt>
                <c:pt idx="2">
                  <c:v>521</c:v>
                </c:pt>
                <c:pt idx="3">
                  <c:v>522.79999999999995</c:v>
                </c:pt>
                <c:pt idx="4">
                  <c:v>523.58000000000004</c:v>
                </c:pt>
                <c:pt idx="5">
                  <c:v>524.03</c:v>
                </c:pt>
                <c:pt idx="6">
                  <c:v>526.13</c:v>
                </c:pt>
                <c:pt idx="7">
                  <c:v>528.08000000000004</c:v>
                </c:pt>
                <c:pt idx="8">
                  <c:v>528.51</c:v>
                </c:pt>
                <c:pt idx="9">
                  <c:v>525.05999999999995</c:v>
                </c:pt>
                <c:pt idx="10">
                  <c:v>526.66</c:v>
                </c:pt>
                <c:pt idx="11">
                  <c:v>527.32000000000005</c:v>
                </c:pt>
                <c:pt idx="12">
                  <c:v>529.36</c:v>
                </c:pt>
                <c:pt idx="13">
                  <c:v>529.66</c:v>
                </c:pt>
                <c:pt idx="14">
                  <c:v>531.12</c:v>
                </c:pt>
                <c:pt idx="15">
                  <c:v>533.87</c:v>
                </c:pt>
                <c:pt idx="16">
                  <c:v>534.75</c:v>
                </c:pt>
                <c:pt idx="17">
                  <c:v>534.72</c:v>
                </c:pt>
                <c:pt idx="18">
                  <c:v>534.39</c:v>
                </c:pt>
                <c:pt idx="19">
                  <c:v>533.58000000000004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3-4CF6-9BE8-FA08B8388B06}"/>
            </c:ext>
          </c:extLst>
        </c:ser>
        <c:ser>
          <c:idx val="1"/>
          <c:order val="1"/>
          <c:tx>
            <c:strRef>
              <c:f>'1'!$F$12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'1'!$C$13:$C$100</c:f>
              <c:numCache>
                <c:formatCode>General</c:formatCode>
                <c:ptCount val="88"/>
                <c:pt idx="0">
                  <c:v>35.119999999999997</c:v>
                </c:pt>
                <c:pt idx="1">
                  <c:v>35.22</c:v>
                </c:pt>
                <c:pt idx="2">
                  <c:v>35.32</c:v>
                </c:pt>
                <c:pt idx="3">
                  <c:v>35.42</c:v>
                </c:pt>
                <c:pt idx="4">
                  <c:v>35.519999999999996</c:v>
                </c:pt>
                <c:pt idx="5">
                  <c:v>35.619999999999997</c:v>
                </c:pt>
                <c:pt idx="6">
                  <c:v>35.72</c:v>
                </c:pt>
                <c:pt idx="7">
                  <c:v>35.82</c:v>
                </c:pt>
                <c:pt idx="8">
                  <c:v>35.92</c:v>
                </c:pt>
                <c:pt idx="9">
                  <c:v>36.019999999999996</c:v>
                </c:pt>
                <c:pt idx="10">
                  <c:v>36.119999999999997</c:v>
                </c:pt>
                <c:pt idx="11">
                  <c:v>36.22</c:v>
                </c:pt>
                <c:pt idx="12">
                  <c:v>36.32</c:v>
                </c:pt>
                <c:pt idx="13">
                  <c:v>36.42</c:v>
                </c:pt>
                <c:pt idx="14">
                  <c:v>36.519999999999996</c:v>
                </c:pt>
                <c:pt idx="15">
                  <c:v>36.619999999999997</c:v>
                </c:pt>
                <c:pt idx="16">
                  <c:v>36.72</c:v>
                </c:pt>
                <c:pt idx="17">
                  <c:v>36.82</c:v>
                </c:pt>
                <c:pt idx="18">
                  <c:v>36.92</c:v>
                </c:pt>
                <c:pt idx="19">
                  <c:v>37.019999999999996</c:v>
                </c:pt>
              </c:numCache>
            </c:numRef>
          </c:xVal>
          <c:yVal>
            <c:numRef>
              <c:f>'1'!$F$13:$F$100</c:f>
              <c:numCache>
                <c:formatCode>General</c:formatCode>
                <c:ptCount val="88"/>
                <c:pt idx="0">
                  <c:v>278.77999999999997</c:v>
                </c:pt>
                <c:pt idx="1">
                  <c:v>249.04</c:v>
                </c:pt>
                <c:pt idx="2">
                  <c:v>210.01</c:v>
                </c:pt>
                <c:pt idx="3">
                  <c:v>180.59</c:v>
                </c:pt>
                <c:pt idx="4">
                  <c:v>161.82</c:v>
                </c:pt>
                <c:pt idx="5">
                  <c:v>135.19</c:v>
                </c:pt>
                <c:pt idx="6">
                  <c:v>109.04</c:v>
                </c:pt>
                <c:pt idx="7">
                  <c:v>83.57</c:v>
                </c:pt>
                <c:pt idx="8">
                  <c:v>63.97</c:v>
                </c:pt>
                <c:pt idx="9">
                  <c:v>59.32</c:v>
                </c:pt>
                <c:pt idx="10">
                  <c:v>64.84</c:v>
                </c:pt>
                <c:pt idx="11">
                  <c:v>75.25</c:v>
                </c:pt>
                <c:pt idx="12">
                  <c:v>92.35</c:v>
                </c:pt>
                <c:pt idx="13">
                  <c:v>111.06</c:v>
                </c:pt>
                <c:pt idx="14">
                  <c:v>133.43</c:v>
                </c:pt>
                <c:pt idx="15">
                  <c:v>160.03</c:v>
                </c:pt>
                <c:pt idx="16">
                  <c:v>191.48</c:v>
                </c:pt>
                <c:pt idx="17">
                  <c:v>222.37</c:v>
                </c:pt>
                <c:pt idx="18">
                  <c:v>242.42</c:v>
                </c:pt>
                <c:pt idx="19">
                  <c:v>277.74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B3-4CF6-9BE8-FA08B8388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4256"/>
        <c:axId val="193346176"/>
      </c:scatterChart>
      <c:valAx>
        <c:axId val="19334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346176"/>
        <c:crosses val="autoZero"/>
        <c:crossBetween val="midCat"/>
      </c:valAx>
      <c:valAx>
        <c:axId val="193346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344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'1'!$E$12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'1'!$C$19:$C$45</c:f>
              <c:numCache>
                <c:formatCode>General</c:formatCode>
                <c:ptCount val="27"/>
                <c:pt idx="0">
                  <c:v>35.72</c:v>
                </c:pt>
                <c:pt idx="1">
                  <c:v>35.82</c:v>
                </c:pt>
                <c:pt idx="2">
                  <c:v>35.92</c:v>
                </c:pt>
                <c:pt idx="3">
                  <c:v>36.019999999999996</c:v>
                </c:pt>
                <c:pt idx="4">
                  <c:v>36.119999999999997</c:v>
                </c:pt>
                <c:pt idx="5">
                  <c:v>36.22</c:v>
                </c:pt>
                <c:pt idx="6">
                  <c:v>36.32</c:v>
                </c:pt>
                <c:pt idx="7">
                  <c:v>36.42</c:v>
                </c:pt>
                <c:pt idx="8">
                  <c:v>36.519999999999996</c:v>
                </c:pt>
                <c:pt idx="9">
                  <c:v>36.619999999999997</c:v>
                </c:pt>
                <c:pt idx="10">
                  <c:v>36.72</c:v>
                </c:pt>
                <c:pt idx="11">
                  <c:v>36.82</c:v>
                </c:pt>
                <c:pt idx="12">
                  <c:v>36.92</c:v>
                </c:pt>
                <c:pt idx="13">
                  <c:v>37.019999999999996</c:v>
                </c:pt>
              </c:numCache>
            </c:numRef>
          </c:xVal>
          <c:yVal>
            <c:numRef>
              <c:f>'1'!$E$19:$E$45</c:f>
              <c:numCache>
                <c:formatCode>General</c:formatCode>
                <c:ptCount val="27"/>
                <c:pt idx="0">
                  <c:v>2.16</c:v>
                </c:pt>
                <c:pt idx="1">
                  <c:v>2.1</c:v>
                </c:pt>
                <c:pt idx="2">
                  <c:v>2.27</c:v>
                </c:pt>
                <c:pt idx="3">
                  <c:v>3.35</c:v>
                </c:pt>
                <c:pt idx="4">
                  <c:v>2.6</c:v>
                </c:pt>
                <c:pt idx="5">
                  <c:v>2.4</c:v>
                </c:pt>
                <c:pt idx="6">
                  <c:v>2.97</c:v>
                </c:pt>
                <c:pt idx="7">
                  <c:v>2.6</c:v>
                </c:pt>
                <c:pt idx="8">
                  <c:v>2.62</c:v>
                </c:pt>
                <c:pt idx="9">
                  <c:v>1.79</c:v>
                </c:pt>
                <c:pt idx="10">
                  <c:v>2.54</c:v>
                </c:pt>
                <c:pt idx="11">
                  <c:v>2.83</c:v>
                </c:pt>
                <c:pt idx="12">
                  <c:v>2.58</c:v>
                </c:pt>
                <c:pt idx="13">
                  <c:v>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F-4C99-B6CF-CFACEBE95046}"/>
            </c:ext>
          </c:extLst>
        </c:ser>
        <c:ser>
          <c:idx val="3"/>
          <c:order val="1"/>
          <c:tx>
            <c:strRef>
              <c:f>'1'!$G$12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'1'!$C$19:$C$45</c:f>
              <c:numCache>
                <c:formatCode>General</c:formatCode>
                <c:ptCount val="27"/>
                <c:pt idx="0">
                  <c:v>35.72</c:v>
                </c:pt>
                <c:pt idx="1">
                  <c:v>35.82</c:v>
                </c:pt>
                <c:pt idx="2">
                  <c:v>35.92</c:v>
                </c:pt>
                <c:pt idx="3">
                  <c:v>36.019999999999996</c:v>
                </c:pt>
                <c:pt idx="4">
                  <c:v>36.119999999999997</c:v>
                </c:pt>
                <c:pt idx="5">
                  <c:v>36.22</c:v>
                </c:pt>
                <c:pt idx="6">
                  <c:v>36.32</c:v>
                </c:pt>
                <c:pt idx="7">
                  <c:v>36.42</c:v>
                </c:pt>
                <c:pt idx="8">
                  <c:v>36.519999999999996</c:v>
                </c:pt>
                <c:pt idx="9">
                  <c:v>36.619999999999997</c:v>
                </c:pt>
                <c:pt idx="10">
                  <c:v>36.72</c:v>
                </c:pt>
                <c:pt idx="11">
                  <c:v>36.82</c:v>
                </c:pt>
                <c:pt idx="12">
                  <c:v>36.92</c:v>
                </c:pt>
                <c:pt idx="13">
                  <c:v>37.019999999999996</c:v>
                </c:pt>
              </c:numCache>
            </c:numRef>
          </c:xVal>
          <c:yVal>
            <c:numRef>
              <c:f>'1'!$G$19:$G$45</c:f>
              <c:numCache>
                <c:formatCode>General</c:formatCode>
                <c:ptCount val="27"/>
                <c:pt idx="0">
                  <c:v>0.31</c:v>
                </c:pt>
                <c:pt idx="1">
                  <c:v>0.39</c:v>
                </c:pt>
                <c:pt idx="2">
                  <c:v>0.42</c:v>
                </c:pt>
                <c:pt idx="3">
                  <c:v>0.43</c:v>
                </c:pt>
                <c:pt idx="4">
                  <c:v>0.37</c:v>
                </c:pt>
                <c:pt idx="5">
                  <c:v>0.49</c:v>
                </c:pt>
                <c:pt idx="6">
                  <c:v>0.4</c:v>
                </c:pt>
                <c:pt idx="7">
                  <c:v>0.9</c:v>
                </c:pt>
                <c:pt idx="8">
                  <c:v>0.63</c:v>
                </c:pt>
                <c:pt idx="9">
                  <c:v>1.08</c:v>
                </c:pt>
                <c:pt idx="10">
                  <c:v>1.07</c:v>
                </c:pt>
                <c:pt idx="11">
                  <c:v>1.42</c:v>
                </c:pt>
                <c:pt idx="12">
                  <c:v>1.1100000000000001</c:v>
                </c:pt>
                <c:pt idx="13">
                  <c:v>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FF-4C99-B6CF-CFACEBE95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71520"/>
        <c:axId val="193381888"/>
      </c:scatterChart>
      <c:valAx>
        <c:axId val="19337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381888"/>
        <c:crosses val="autoZero"/>
        <c:crossBetween val="midCat"/>
      </c:valAx>
      <c:valAx>
        <c:axId val="193381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371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41</xdr:row>
      <xdr:rowOff>66675</xdr:rowOff>
    </xdr:from>
    <xdr:to>
      <xdr:col>14</xdr:col>
      <xdr:colOff>742950</xdr:colOff>
      <xdr:row>63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opLeftCell="A10" workbookViewId="0">
      <selection activeCell="A13" sqref="A13:G32"/>
    </sheetView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664062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10">
        <v>42247</v>
      </c>
      <c r="C1" s="10"/>
      <c r="D1" s="10"/>
      <c r="E1" s="2"/>
      <c r="F1" s="3"/>
      <c r="G1" s="3"/>
    </row>
    <row r="2" spans="1:14" ht="13.2" x14ac:dyDescent="0.25">
      <c r="A2" s="4" t="s">
        <v>16</v>
      </c>
      <c r="B2" s="11" t="s">
        <v>17</v>
      </c>
      <c r="C2" s="11"/>
      <c r="D2" s="11"/>
      <c r="E2" s="3"/>
      <c r="F2" s="3"/>
      <c r="G2" s="3"/>
    </row>
    <row r="3" spans="1:14" ht="13.2" x14ac:dyDescent="0.25">
      <c r="A3" s="4" t="s">
        <v>1</v>
      </c>
      <c r="B3" s="11" t="s">
        <v>18</v>
      </c>
      <c r="C3" s="12"/>
      <c r="D3" s="12"/>
      <c r="E3" s="3"/>
      <c r="F3" s="3"/>
      <c r="G3" s="3"/>
    </row>
    <row r="4" spans="1:14" ht="13.2" x14ac:dyDescent="0.25">
      <c r="A4" s="4" t="s">
        <v>3</v>
      </c>
      <c r="B4" s="7">
        <v>1064</v>
      </c>
      <c r="E4" s="3"/>
      <c r="F4" s="3"/>
      <c r="G4" s="3"/>
    </row>
    <row r="5" spans="1:14" ht="13.2" x14ac:dyDescent="0.25">
      <c r="A5" s="4" t="s">
        <v>10</v>
      </c>
      <c r="B5" s="6" t="s">
        <v>21</v>
      </c>
      <c r="E5" s="3"/>
      <c r="F5" s="3"/>
      <c r="G5" s="3"/>
    </row>
    <row r="6" spans="1:14" ht="26.4" x14ac:dyDescent="0.25">
      <c r="A6" s="4" t="s">
        <v>19</v>
      </c>
      <c r="B6" s="6">
        <v>1.7</v>
      </c>
      <c r="E6" s="3"/>
      <c r="F6" s="3"/>
      <c r="G6" s="3"/>
    </row>
    <row r="7" spans="1:14" ht="13.2" x14ac:dyDescent="0.25">
      <c r="A7" s="4" t="s">
        <v>15</v>
      </c>
      <c r="B7" s="6" t="s">
        <v>28</v>
      </c>
      <c r="E7" s="3"/>
      <c r="F7" s="3"/>
      <c r="G7" s="3"/>
    </row>
    <row r="8" spans="1:14" ht="26.4" x14ac:dyDescent="0.25">
      <c r="A8" s="4" t="s">
        <v>20</v>
      </c>
      <c r="B8" s="6"/>
      <c r="E8" s="3"/>
      <c r="F8" s="3"/>
      <c r="G8" s="3"/>
    </row>
    <row r="9" spans="1:14" ht="117.75" customHeight="1" x14ac:dyDescent="0.25">
      <c r="A9" s="4" t="s">
        <v>2</v>
      </c>
      <c r="B9" s="11" t="s">
        <v>29</v>
      </c>
      <c r="C9" s="12"/>
      <c r="D9" s="12"/>
      <c r="E9" s="12"/>
      <c r="F9" s="12"/>
      <c r="G9" s="12"/>
    </row>
    <row r="10" spans="1:14" ht="13.2" x14ac:dyDescent="0.25">
      <c r="A10" s="1"/>
    </row>
    <row r="11" spans="1:14" ht="13.2" x14ac:dyDescent="0.25">
      <c r="A11" s="1"/>
      <c r="B11" s="8" t="s">
        <v>7</v>
      </c>
      <c r="C11" s="8"/>
      <c r="D11" s="8" t="s">
        <v>6</v>
      </c>
      <c r="E11" s="8"/>
      <c r="F11" s="8"/>
      <c r="G11" s="8"/>
      <c r="H11" s="8" t="s">
        <v>5</v>
      </c>
      <c r="I11" s="8"/>
      <c r="J11" s="8"/>
      <c r="K11" s="8"/>
      <c r="L11" s="5"/>
      <c r="M11" s="5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22</v>
      </c>
      <c r="E12" s="4" t="s">
        <v>24</v>
      </c>
      <c r="F12" s="4" t="s">
        <v>23</v>
      </c>
      <c r="G12" s="4" t="s">
        <v>25</v>
      </c>
      <c r="H12" s="4" t="s">
        <v>13</v>
      </c>
      <c r="I12" s="4" t="s">
        <v>26</v>
      </c>
      <c r="J12" s="4" t="s">
        <v>14</v>
      </c>
      <c r="K12" s="4" t="s">
        <v>27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340</v>
      </c>
      <c r="B13" s="1">
        <f>A13+(49)+(-45+7.2)</f>
        <v>351.2</v>
      </c>
      <c r="C13" s="1">
        <f t="shared" ref="C13:C17" si="0">B13/10</f>
        <v>35.119999999999997</v>
      </c>
      <c r="D13">
        <v>516.97</v>
      </c>
      <c r="E13">
        <v>2.1800000000000002</v>
      </c>
      <c r="F13">
        <v>278.77999999999997</v>
      </c>
      <c r="G13">
        <v>0.68</v>
      </c>
      <c r="H13" s="1"/>
      <c r="I13" s="1"/>
      <c r="L13" s="1">
        <f t="shared" ref="L13" si="1">D13/F13</f>
        <v>1.8544013200373057</v>
      </c>
      <c r="M13" s="1">
        <f t="shared" ref="M13" si="2">F13/D13</f>
        <v>0.53925759715263932</v>
      </c>
      <c r="N13" s="1"/>
    </row>
    <row r="14" spans="1:14" ht="12.75" customHeight="1" x14ac:dyDescent="0.25">
      <c r="A14">
        <v>341</v>
      </c>
      <c r="B14" s="1">
        <f t="shared" ref="B14:B32" si="3">A14+(49)+(-45+7.2)</f>
        <v>352.2</v>
      </c>
      <c r="C14" s="1">
        <f t="shared" si="0"/>
        <v>35.22</v>
      </c>
      <c r="D14">
        <v>516.89</v>
      </c>
      <c r="E14">
        <v>2.91</v>
      </c>
      <c r="F14">
        <v>249.04</v>
      </c>
      <c r="G14">
        <v>0.77</v>
      </c>
      <c r="H14" s="1"/>
      <c r="I14" s="1"/>
      <c r="L14" s="1">
        <f t="shared" ref="L14:L18" si="4">D14/F14</f>
        <v>2.0755300353356891</v>
      </c>
      <c r="M14" s="1">
        <f t="shared" ref="M14:M18" si="5">F14/D14</f>
        <v>0.48180463928495426</v>
      </c>
      <c r="N14" s="1"/>
    </row>
    <row r="15" spans="1:14" ht="12.75" customHeight="1" x14ac:dyDescent="0.25">
      <c r="A15">
        <v>342</v>
      </c>
      <c r="B15" s="1">
        <f t="shared" si="3"/>
        <v>353.2</v>
      </c>
      <c r="C15" s="1">
        <f t="shared" si="0"/>
        <v>35.32</v>
      </c>
      <c r="D15">
        <v>521</v>
      </c>
      <c r="E15">
        <v>2.2799999999999998</v>
      </c>
      <c r="F15">
        <v>210.01</v>
      </c>
      <c r="G15">
        <v>0.56999999999999995</v>
      </c>
      <c r="H15" s="1"/>
      <c r="I15" s="1"/>
      <c r="L15" s="1">
        <f t="shared" si="4"/>
        <v>2.4808342459882864</v>
      </c>
      <c r="M15" s="1">
        <f t="shared" si="5"/>
        <v>0.40309021113243759</v>
      </c>
      <c r="N15" s="1"/>
    </row>
    <row r="16" spans="1:14" ht="12.75" customHeight="1" x14ac:dyDescent="0.25">
      <c r="A16">
        <v>343</v>
      </c>
      <c r="B16" s="1">
        <f t="shared" si="3"/>
        <v>354.2</v>
      </c>
      <c r="C16" s="1">
        <f t="shared" si="0"/>
        <v>35.42</v>
      </c>
      <c r="D16">
        <v>522.79999999999995</v>
      </c>
      <c r="E16">
        <v>2.72</v>
      </c>
      <c r="F16" s="1">
        <v>180.59</v>
      </c>
      <c r="G16">
        <v>0.43</v>
      </c>
      <c r="H16" s="1"/>
      <c r="I16" s="1"/>
      <c r="L16" s="1">
        <f t="shared" si="4"/>
        <v>2.8949554238883657</v>
      </c>
      <c r="M16" s="1">
        <f t="shared" si="5"/>
        <v>0.34542846212700845</v>
      </c>
      <c r="N16" s="1"/>
    </row>
    <row r="17" spans="1:14" ht="12.75" customHeight="1" x14ac:dyDescent="0.25">
      <c r="A17">
        <v>344</v>
      </c>
      <c r="B17" s="1">
        <f t="shared" si="3"/>
        <v>355.2</v>
      </c>
      <c r="C17" s="1">
        <f t="shared" si="0"/>
        <v>35.519999999999996</v>
      </c>
      <c r="D17">
        <v>523.58000000000004</v>
      </c>
      <c r="E17">
        <v>2.29</v>
      </c>
      <c r="F17">
        <v>161.82</v>
      </c>
      <c r="G17">
        <v>0.38</v>
      </c>
      <c r="H17" s="1"/>
      <c r="I17" s="1"/>
      <c r="L17" s="1">
        <f t="shared" si="4"/>
        <v>3.2355703868495862</v>
      </c>
      <c r="M17" s="1">
        <f t="shared" si="5"/>
        <v>0.30906451736124368</v>
      </c>
      <c r="N17" s="1" t="s">
        <v>31</v>
      </c>
    </row>
    <row r="18" spans="1:14" ht="12.75" customHeight="1" x14ac:dyDescent="0.25">
      <c r="A18">
        <v>345</v>
      </c>
      <c r="B18" s="1">
        <f t="shared" si="3"/>
        <v>356.2</v>
      </c>
      <c r="C18" s="1">
        <f>B18/10</f>
        <v>35.619999999999997</v>
      </c>
      <c r="D18">
        <v>524.03</v>
      </c>
      <c r="E18">
        <v>2.4500000000000002</v>
      </c>
      <c r="F18">
        <v>135.19</v>
      </c>
      <c r="G18">
        <v>0.39</v>
      </c>
      <c r="H18" s="1"/>
      <c r="I18" s="1"/>
      <c r="L18" s="1">
        <f t="shared" si="4"/>
        <v>3.8762482432132552</v>
      </c>
      <c r="M18" s="1">
        <f t="shared" si="5"/>
        <v>0.25798141327786578</v>
      </c>
      <c r="N18" s="1" t="s">
        <v>30</v>
      </c>
    </row>
    <row r="19" spans="1:14" ht="12.75" customHeight="1" x14ac:dyDescent="0.25">
      <c r="A19">
        <v>346</v>
      </c>
      <c r="B19" s="1">
        <f t="shared" si="3"/>
        <v>357.2</v>
      </c>
      <c r="C19" s="1">
        <f>B19/10</f>
        <v>35.72</v>
      </c>
      <c r="D19">
        <v>526.13</v>
      </c>
      <c r="E19">
        <v>2.16</v>
      </c>
      <c r="F19">
        <v>109.04</v>
      </c>
      <c r="G19">
        <v>0.31</v>
      </c>
      <c r="H19" s="1"/>
      <c r="I19" s="1"/>
      <c r="L19" s="1">
        <f>D19/F19</f>
        <v>4.8251100513572993</v>
      </c>
      <c r="M19" s="1">
        <f>F19/D19</f>
        <v>0.20724915895311047</v>
      </c>
      <c r="N19" s="1" t="s">
        <v>32</v>
      </c>
    </row>
    <row r="20" spans="1:14" ht="12.75" customHeight="1" x14ac:dyDescent="0.25">
      <c r="A20">
        <v>347</v>
      </c>
      <c r="B20" s="1">
        <f t="shared" si="3"/>
        <v>358.2</v>
      </c>
      <c r="C20" s="1">
        <f t="shared" ref="C20:C32" si="6">B20/10</f>
        <v>35.82</v>
      </c>
      <c r="D20">
        <v>528.08000000000004</v>
      </c>
      <c r="E20">
        <v>2.1</v>
      </c>
      <c r="F20">
        <v>83.57</v>
      </c>
      <c r="G20">
        <v>0.39</v>
      </c>
      <c r="H20" s="1"/>
      <c r="I20" s="1"/>
      <c r="L20" s="1">
        <f t="shared" ref="L20:L32" si="7">D20/F20</f>
        <v>6.3190140002393216</v>
      </c>
      <c r="M20" s="1">
        <f t="shared" ref="M20:M32" si="8">F20/D20</f>
        <v>0.15825253749431903</v>
      </c>
      <c r="N20" s="1"/>
    </row>
    <row r="21" spans="1:14" ht="12.75" customHeight="1" x14ac:dyDescent="0.25">
      <c r="A21">
        <v>348</v>
      </c>
      <c r="B21" s="1">
        <f t="shared" si="3"/>
        <v>359.2</v>
      </c>
      <c r="C21" s="1">
        <f t="shared" si="6"/>
        <v>35.92</v>
      </c>
      <c r="D21">
        <v>528.51</v>
      </c>
      <c r="E21">
        <v>2.27</v>
      </c>
      <c r="F21">
        <v>63.97</v>
      </c>
      <c r="G21">
        <v>0.42</v>
      </c>
      <c r="H21" s="1"/>
      <c r="I21" s="1"/>
      <c r="J21" s="1"/>
      <c r="L21" s="1">
        <f t="shared" si="7"/>
        <v>8.261841488197593</v>
      </c>
      <c r="M21" s="1">
        <f t="shared" si="8"/>
        <v>0.12103839094813722</v>
      </c>
      <c r="N21" s="1"/>
    </row>
    <row r="22" spans="1:14" ht="12.75" customHeight="1" x14ac:dyDescent="0.25">
      <c r="A22">
        <v>349</v>
      </c>
      <c r="B22" s="1">
        <f t="shared" si="3"/>
        <v>360.2</v>
      </c>
      <c r="C22" s="1">
        <f t="shared" si="6"/>
        <v>36.019999999999996</v>
      </c>
      <c r="D22">
        <v>525.05999999999995</v>
      </c>
      <c r="E22">
        <v>3.35</v>
      </c>
      <c r="F22">
        <v>59.32</v>
      </c>
      <c r="G22">
        <v>0.43</v>
      </c>
      <c r="H22" s="1"/>
      <c r="I22" s="1"/>
      <c r="L22" s="1">
        <f t="shared" si="7"/>
        <v>8.8513149022252176</v>
      </c>
      <c r="M22" s="1">
        <f t="shared" si="8"/>
        <v>0.11297756446882262</v>
      </c>
      <c r="N22" s="1"/>
    </row>
    <row r="23" spans="1:14" ht="12.75" customHeight="1" x14ac:dyDescent="0.25">
      <c r="A23">
        <v>350</v>
      </c>
      <c r="B23" s="1">
        <f t="shared" si="3"/>
        <v>361.2</v>
      </c>
      <c r="C23" s="1">
        <f t="shared" si="6"/>
        <v>36.119999999999997</v>
      </c>
      <c r="D23">
        <v>526.66</v>
      </c>
      <c r="E23">
        <v>2.6</v>
      </c>
      <c r="F23">
        <v>64.84</v>
      </c>
      <c r="G23">
        <v>0.37</v>
      </c>
      <c r="H23" s="1"/>
      <c r="I23" s="1"/>
      <c r="L23" s="1">
        <f t="shared" si="7"/>
        <v>8.122455274521899</v>
      </c>
      <c r="M23" s="1">
        <f t="shared" si="8"/>
        <v>0.12311548247446172</v>
      </c>
      <c r="N23" s="1"/>
    </row>
    <row r="24" spans="1:14" ht="12.75" customHeight="1" x14ac:dyDescent="0.25">
      <c r="A24">
        <v>351</v>
      </c>
      <c r="B24" s="1">
        <f t="shared" si="3"/>
        <v>362.2</v>
      </c>
      <c r="C24" s="1">
        <f t="shared" si="6"/>
        <v>36.22</v>
      </c>
      <c r="D24">
        <v>527.32000000000005</v>
      </c>
      <c r="E24">
        <v>2.4</v>
      </c>
      <c r="F24">
        <v>75.25</v>
      </c>
      <c r="G24">
        <v>0.49</v>
      </c>
      <c r="H24" s="1"/>
      <c r="I24" s="1"/>
      <c r="L24" s="1">
        <f t="shared" si="7"/>
        <v>7.0075747508305657</v>
      </c>
      <c r="M24" s="1">
        <f t="shared" si="8"/>
        <v>0.14270272320412652</v>
      </c>
      <c r="N24" s="1"/>
    </row>
    <row r="25" spans="1:14" ht="12.75" customHeight="1" x14ac:dyDescent="0.25">
      <c r="A25">
        <v>352</v>
      </c>
      <c r="B25" s="1">
        <f t="shared" si="3"/>
        <v>363.2</v>
      </c>
      <c r="C25" s="1">
        <f t="shared" si="6"/>
        <v>36.32</v>
      </c>
      <c r="D25">
        <v>529.36</v>
      </c>
      <c r="E25">
        <v>2.97</v>
      </c>
      <c r="F25">
        <v>92.35</v>
      </c>
      <c r="G25">
        <v>0.4</v>
      </c>
      <c r="H25" s="1"/>
      <c r="I25" s="1"/>
      <c r="L25" s="1">
        <f t="shared" si="7"/>
        <v>5.732106118029237</v>
      </c>
      <c r="M25" s="1">
        <f t="shared" si="8"/>
        <v>0.17445594680368745</v>
      </c>
      <c r="N25" s="1"/>
    </row>
    <row r="26" spans="1:14" ht="12.75" customHeight="1" x14ac:dyDescent="0.25">
      <c r="A26">
        <v>353</v>
      </c>
      <c r="B26" s="1">
        <f t="shared" si="3"/>
        <v>364.2</v>
      </c>
      <c r="C26" s="1">
        <f t="shared" si="6"/>
        <v>36.42</v>
      </c>
      <c r="D26">
        <v>529.66</v>
      </c>
      <c r="E26">
        <v>2.6</v>
      </c>
      <c r="F26">
        <v>111.06</v>
      </c>
      <c r="G26">
        <v>0.9</v>
      </c>
      <c r="H26" s="1"/>
      <c r="I26" s="1"/>
      <c r="L26" s="1">
        <f t="shared" si="7"/>
        <v>4.7691338015487119</v>
      </c>
      <c r="M26" s="1">
        <f t="shared" si="8"/>
        <v>0.20968168258883058</v>
      </c>
      <c r="N26" s="1"/>
    </row>
    <row r="27" spans="1:14" ht="12.75" customHeight="1" x14ac:dyDescent="0.25">
      <c r="A27">
        <v>354</v>
      </c>
      <c r="B27" s="1">
        <f t="shared" si="3"/>
        <v>365.2</v>
      </c>
      <c r="C27" s="1">
        <f t="shared" si="6"/>
        <v>36.519999999999996</v>
      </c>
      <c r="D27">
        <v>531.12</v>
      </c>
      <c r="E27">
        <v>2.62</v>
      </c>
      <c r="F27">
        <v>133.43</v>
      </c>
      <c r="G27">
        <v>0.63</v>
      </c>
      <c r="J27" s="1"/>
      <c r="L27" s="1">
        <f t="shared" si="7"/>
        <v>3.980514127257738</v>
      </c>
      <c r="M27" s="1">
        <f t="shared" si="8"/>
        <v>0.25122382888989309</v>
      </c>
      <c r="N27" s="1"/>
    </row>
    <row r="28" spans="1:14" ht="12.75" customHeight="1" x14ac:dyDescent="0.25">
      <c r="A28">
        <v>355</v>
      </c>
      <c r="B28" s="1">
        <f t="shared" si="3"/>
        <v>366.2</v>
      </c>
      <c r="C28" s="1">
        <f t="shared" si="6"/>
        <v>36.619999999999997</v>
      </c>
      <c r="D28">
        <v>533.87</v>
      </c>
      <c r="E28">
        <v>1.79</v>
      </c>
      <c r="F28">
        <v>160.03</v>
      </c>
      <c r="G28">
        <v>1.08</v>
      </c>
      <c r="L28" s="1">
        <f t="shared" si="7"/>
        <v>3.3360619883771792</v>
      </c>
      <c r="M28" s="1">
        <f t="shared" si="8"/>
        <v>0.29975462191170132</v>
      </c>
      <c r="N28" s="1"/>
    </row>
    <row r="29" spans="1:14" ht="12.75" customHeight="1" x14ac:dyDescent="0.25">
      <c r="A29">
        <v>356</v>
      </c>
      <c r="B29" s="1">
        <f t="shared" si="3"/>
        <v>367.2</v>
      </c>
      <c r="C29" s="1">
        <f t="shared" si="6"/>
        <v>36.72</v>
      </c>
      <c r="D29">
        <v>534.75</v>
      </c>
      <c r="E29" s="1">
        <v>2.54</v>
      </c>
      <c r="F29">
        <v>191.48</v>
      </c>
      <c r="G29">
        <v>1.07</v>
      </c>
      <c r="L29" s="1">
        <f t="shared" si="7"/>
        <v>2.7927198663045751</v>
      </c>
      <c r="M29" s="1">
        <f t="shared" si="8"/>
        <v>0.35807386629266008</v>
      </c>
      <c r="N29" s="1"/>
    </row>
    <row r="30" spans="1:14" ht="12.75" customHeight="1" x14ac:dyDescent="0.25">
      <c r="A30">
        <v>357</v>
      </c>
      <c r="B30" s="1">
        <f t="shared" si="3"/>
        <v>368.2</v>
      </c>
      <c r="C30" s="1">
        <f t="shared" si="6"/>
        <v>36.82</v>
      </c>
      <c r="D30">
        <v>534.72</v>
      </c>
      <c r="E30">
        <v>2.83</v>
      </c>
      <c r="F30">
        <v>222.37</v>
      </c>
      <c r="G30">
        <v>1.42</v>
      </c>
      <c r="L30">
        <f t="shared" si="7"/>
        <v>2.4046409137923281</v>
      </c>
      <c r="M30">
        <f t="shared" si="8"/>
        <v>0.41586250748055054</v>
      </c>
      <c r="N30" s="1"/>
    </row>
    <row r="31" spans="1:14" ht="12.75" customHeight="1" x14ac:dyDescent="0.25">
      <c r="A31">
        <v>358</v>
      </c>
      <c r="B31" s="1">
        <f t="shared" si="3"/>
        <v>369.2</v>
      </c>
      <c r="C31" s="1">
        <f t="shared" si="6"/>
        <v>36.92</v>
      </c>
      <c r="D31">
        <v>534.39</v>
      </c>
      <c r="E31">
        <v>2.58</v>
      </c>
      <c r="F31">
        <v>242.42</v>
      </c>
      <c r="G31">
        <v>1.1100000000000001</v>
      </c>
      <c r="L31">
        <f t="shared" si="7"/>
        <v>2.2043973269532215</v>
      </c>
      <c r="M31">
        <f t="shared" si="8"/>
        <v>0.45363872826961582</v>
      </c>
      <c r="N31" s="1"/>
    </row>
    <row r="32" spans="1:14" ht="12.75" customHeight="1" x14ac:dyDescent="0.25">
      <c r="A32">
        <v>359</v>
      </c>
      <c r="B32" s="1">
        <f t="shared" si="3"/>
        <v>370.2</v>
      </c>
      <c r="C32" s="1">
        <f t="shared" si="6"/>
        <v>37.019999999999996</v>
      </c>
      <c r="D32">
        <v>533.58000000000004</v>
      </c>
      <c r="E32">
        <v>3.71</v>
      </c>
      <c r="F32">
        <v>277.74</v>
      </c>
      <c r="G32">
        <v>1.56</v>
      </c>
      <c r="L32">
        <f t="shared" si="7"/>
        <v>1.9211492763015772</v>
      </c>
      <c r="M32">
        <f t="shared" si="8"/>
        <v>0.52052175868660744</v>
      </c>
      <c r="N32" s="1"/>
    </row>
    <row r="33" spans="2:22" ht="12.75" customHeight="1" x14ac:dyDescent="0.25">
      <c r="B33" s="1"/>
      <c r="C33" s="1"/>
      <c r="N33" s="1"/>
    </row>
    <row r="34" spans="2:22" ht="12.75" customHeight="1" x14ac:dyDescent="0.25">
      <c r="B34" s="1"/>
      <c r="C34" s="1"/>
    </row>
    <row r="35" spans="2:22" ht="12.75" customHeight="1" x14ac:dyDescent="0.25">
      <c r="B35" s="1"/>
      <c r="C35" s="1"/>
    </row>
    <row r="36" spans="2:22" ht="12.75" customHeight="1" x14ac:dyDescent="0.25">
      <c r="B36" s="1"/>
      <c r="C36" s="1"/>
    </row>
    <row r="37" spans="2:22" ht="12.75" customHeight="1" x14ac:dyDescent="0.25">
      <c r="B37" s="1"/>
      <c r="C37" s="1"/>
    </row>
    <row r="38" spans="2:22" ht="12.75" customHeight="1" x14ac:dyDescent="0.25">
      <c r="B38" s="1"/>
      <c r="C38" s="1"/>
    </row>
    <row r="39" spans="2:22" ht="12.75" customHeight="1" x14ac:dyDescent="0.25">
      <c r="B39" s="1"/>
      <c r="C39" s="1"/>
    </row>
    <row r="40" spans="2:22" ht="12.75" customHeight="1" x14ac:dyDescent="0.25">
      <c r="B40" s="1"/>
      <c r="C40" s="1"/>
    </row>
    <row r="41" spans="2:22" ht="12.75" customHeight="1" x14ac:dyDescent="0.25">
      <c r="B41" s="1"/>
      <c r="C41" s="1"/>
      <c r="H41" s="1"/>
      <c r="I41" s="1"/>
    </row>
    <row r="42" spans="2:22" ht="12.75" customHeight="1" x14ac:dyDescent="0.25">
      <c r="B42" s="1"/>
      <c r="C42" s="1"/>
    </row>
    <row r="43" spans="2:22" ht="12.75" customHeight="1" x14ac:dyDescent="0.25">
      <c r="B43" s="1"/>
      <c r="C43" s="1"/>
      <c r="V43" s="1"/>
    </row>
    <row r="44" spans="2:22" ht="12.75" customHeight="1" x14ac:dyDescent="0.25">
      <c r="B44" s="1"/>
      <c r="C44" s="1"/>
      <c r="J44" s="1"/>
    </row>
    <row r="45" spans="2:22" ht="12.75" customHeight="1" x14ac:dyDescent="0.25">
      <c r="B45" s="1"/>
      <c r="C45" s="1"/>
    </row>
    <row r="46" spans="2:22" ht="12.75" customHeight="1" x14ac:dyDescent="0.25">
      <c r="B46" s="1"/>
      <c r="C46" s="1"/>
    </row>
    <row r="47" spans="2:22" ht="12.75" customHeight="1" x14ac:dyDescent="0.25">
      <c r="B47" s="1"/>
      <c r="C47" s="1"/>
      <c r="N47" s="1"/>
    </row>
    <row r="48" spans="2:22" ht="12.75" customHeight="1" x14ac:dyDescent="0.25">
      <c r="B48" s="1"/>
      <c r="C48" s="1"/>
    </row>
    <row r="49" spans="2:7" ht="12.75" customHeight="1" x14ac:dyDescent="0.25">
      <c r="B49" s="1"/>
      <c r="C49" s="1"/>
    </row>
    <row r="50" spans="2:7" ht="12.75" customHeight="1" x14ac:dyDescent="0.25">
      <c r="B50" s="1"/>
      <c r="C50" s="1"/>
    </row>
    <row r="51" spans="2:7" ht="12.75" customHeight="1" x14ac:dyDescent="0.25">
      <c r="B51" s="1"/>
      <c r="C51" s="1"/>
    </row>
    <row r="52" spans="2:7" ht="12.75" customHeight="1" x14ac:dyDescent="0.25">
      <c r="B52" s="1"/>
    </row>
    <row r="53" spans="2:7" ht="12.75" customHeight="1" x14ac:dyDescent="0.25">
      <c r="B53" s="1"/>
    </row>
    <row r="54" spans="2:7" ht="12.75" customHeight="1" x14ac:dyDescent="0.25">
      <c r="B54" s="1"/>
    </row>
    <row r="55" spans="2:7" ht="12.75" customHeight="1" x14ac:dyDescent="0.25">
      <c r="B55" s="1"/>
    </row>
    <row r="56" spans="2:7" ht="12.75" customHeight="1" x14ac:dyDescent="0.25">
      <c r="B56" s="1"/>
    </row>
    <row r="57" spans="2:7" ht="12.75" customHeight="1" x14ac:dyDescent="0.25">
      <c r="B57" s="1"/>
    </row>
    <row r="58" spans="2:7" ht="12.75" customHeight="1" x14ac:dyDescent="0.25">
      <c r="B58" s="1"/>
    </row>
    <row r="61" spans="2:7" ht="13.2" x14ac:dyDescent="0.25">
      <c r="D61" s="9"/>
      <c r="E61" s="9"/>
      <c r="F61" s="9"/>
      <c r="G61" s="9"/>
    </row>
    <row r="76" spans="1:7" ht="13.2" x14ac:dyDescent="0.25">
      <c r="D76" s="9"/>
      <c r="E76" s="9"/>
      <c r="F76" s="9"/>
      <c r="G76" s="9"/>
    </row>
    <row r="77" spans="1:7" ht="12.75" customHeight="1" x14ac:dyDescent="0.25">
      <c r="A77" s="1"/>
    </row>
  </sheetData>
  <mergeCells count="9">
    <mergeCell ref="H11:K11"/>
    <mergeCell ref="D61:G61"/>
    <mergeCell ref="D76:G76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A99C-B7F5-45BB-A1D1-E271E5950D83}">
  <dimension ref="A1:G21"/>
  <sheetViews>
    <sheetView tabSelected="1" workbookViewId="0">
      <selection activeCell="A2" sqref="A2:G21"/>
    </sheetView>
  </sheetViews>
  <sheetFormatPr defaultRowHeight="13.2" x14ac:dyDescent="0.25"/>
  <sheetData>
    <row r="1" spans="1:7" ht="40.200000000000003" thickBot="1" x14ac:dyDescent="0.3">
      <c r="A1" s="13" t="s">
        <v>33</v>
      </c>
      <c r="B1" s="13" t="s">
        <v>34</v>
      </c>
      <c r="C1" s="13" t="s">
        <v>35</v>
      </c>
      <c r="D1" s="13" t="s">
        <v>22</v>
      </c>
      <c r="E1" s="13" t="s">
        <v>24</v>
      </c>
      <c r="F1" s="13" t="s">
        <v>23</v>
      </c>
      <c r="G1" s="13" t="s">
        <v>25</v>
      </c>
    </row>
    <row r="2" spans="1:7" x14ac:dyDescent="0.25">
      <c r="A2">
        <v>340</v>
      </c>
      <c r="B2" s="1">
        <f>A2+(49)+(-45+7.2)</f>
        <v>351.2</v>
      </c>
      <c r="C2" s="1">
        <f t="shared" ref="C2:C6" si="0">B2/10</f>
        <v>35.119999999999997</v>
      </c>
      <c r="D2">
        <v>516.97</v>
      </c>
      <c r="E2">
        <v>2.1800000000000002</v>
      </c>
      <c r="F2">
        <v>278.77999999999997</v>
      </c>
      <c r="G2">
        <v>0.68</v>
      </c>
    </row>
    <row r="3" spans="1:7" x14ac:dyDescent="0.25">
      <c r="A3">
        <v>341</v>
      </c>
      <c r="B3" s="1">
        <f t="shared" ref="B3:B21" si="1">A3+(49)+(-45+7.2)</f>
        <v>352.2</v>
      </c>
      <c r="C3" s="1">
        <f t="shared" si="0"/>
        <v>35.22</v>
      </c>
      <c r="D3">
        <v>516.89</v>
      </c>
      <c r="E3">
        <v>2.91</v>
      </c>
      <c r="F3">
        <v>249.04</v>
      </c>
      <c r="G3">
        <v>0.77</v>
      </c>
    </row>
    <row r="4" spans="1:7" x14ac:dyDescent="0.25">
      <c r="A4">
        <v>342</v>
      </c>
      <c r="B4" s="1">
        <f t="shared" si="1"/>
        <v>353.2</v>
      </c>
      <c r="C4" s="1">
        <f t="shared" si="0"/>
        <v>35.32</v>
      </c>
      <c r="D4">
        <v>521</v>
      </c>
      <c r="E4">
        <v>2.2799999999999998</v>
      </c>
      <c r="F4">
        <v>210.01</v>
      </c>
      <c r="G4">
        <v>0.56999999999999995</v>
      </c>
    </row>
    <row r="5" spans="1:7" x14ac:dyDescent="0.25">
      <c r="A5">
        <v>343</v>
      </c>
      <c r="B5" s="1">
        <f t="shared" si="1"/>
        <v>354.2</v>
      </c>
      <c r="C5" s="1">
        <f t="shared" si="0"/>
        <v>35.42</v>
      </c>
      <c r="D5">
        <v>522.79999999999995</v>
      </c>
      <c r="E5">
        <v>2.72</v>
      </c>
      <c r="F5" s="1">
        <v>180.59</v>
      </c>
      <c r="G5">
        <v>0.43</v>
      </c>
    </row>
    <row r="6" spans="1:7" x14ac:dyDescent="0.25">
      <c r="A6">
        <v>344</v>
      </c>
      <c r="B6" s="1">
        <f t="shared" si="1"/>
        <v>355.2</v>
      </c>
      <c r="C6" s="1">
        <f t="shared" si="0"/>
        <v>35.519999999999996</v>
      </c>
      <c r="D6">
        <v>523.58000000000004</v>
      </c>
      <c r="E6">
        <v>2.29</v>
      </c>
      <c r="F6">
        <v>161.82</v>
      </c>
      <c r="G6">
        <v>0.38</v>
      </c>
    </row>
    <row r="7" spans="1:7" x14ac:dyDescent="0.25">
      <c r="A7">
        <v>345</v>
      </c>
      <c r="B7" s="1">
        <f t="shared" si="1"/>
        <v>356.2</v>
      </c>
      <c r="C7" s="1">
        <f>B7/10</f>
        <v>35.619999999999997</v>
      </c>
      <c r="D7">
        <v>524.03</v>
      </c>
      <c r="E7">
        <v>2.4500000000000002</v>
      </c>
      <c r="F7">
        <v>135.19</v>
      </c>
      <c r="G7">
        <v>0.39</v>
      </c>
    </row>
    <row r="8" spans="1:7" x14ac:dyDescent="0.25">
      <c r="A8">
        <v>346</v>
      </c>
      <c r="B8" s="1">
        <f t="shared" si="1"/>
        <v>357.2</v>
      </c>
      <c r="C8" s="1">
        <f>B8/10</f>
        <v>35.72</v>
      </c>
      <c r="D8">
        <v>526.13</v>
      </c>
      <c r="E8">
        <v>2.16</v>
      </c>
      <c r="F8">
        <v>109.04</v>
      </c>
      <c r="G8">
        <v>0.31</v>
      </c>
    </row>
    <row r="9" spans="1:7" x14ac:dyDescent="0.25">
      <c r="A9">
        <v>347</v>
      </c>
      <c r="B9" s="1">
        <f t="shared" si="1"/>
        <v>358.2</v>
      </c>
      <c r="C9" s="1">
        <f t="shared" ref="C9:C21" si="2">B9/10</f>
        <v>35.82</v>
      </c>
      <c r="D9">
        <v>528.08000000000004</v>
      </c>
      <c r="E9">
        <v>2.1</v>
      </c>
      <c r="F9">
        <v>83.57</v>
      </c>
      <c r="G9">
        <v>0.39</v>
      </c>
    </row>
    <row r="10" spans="1:7" x14ac:dyDescent="0.25">
      <c r="A10">
        <v>348</v>
      </c>
      <c r="B10" s="1">
        <f t="shared" si="1"/>
        <v>359.2</v>
      </c>
      <c r="C10" s="1">
        <f t="shared" si="2"/>
        <v>35.92</v>
      </c>
      <c r="D10">
        <v>528.51</v>
      </c>
      <c r="E10">
        <v>2.27</v>
      </c>
      <c r="F10">
        <v>63.97</v>
      </c>
      <c r="G10">
        <v>0.42</v>
      </c>
    </row>
    <row r="11" spans="1:7" x14ac:dyDescent="0.25">
      <c r="A11">
        <v>349</v>
      </c>
      <c r="B11" s="1">
        <f t="shared" si="1"/>
        <v>360.2</v>
      </c>
      <c r="C11" s="1">
        <f t="shared" si="2"/>
        <v>36.019999999999996</v>
      </c>
      <c r="D11">
        <v>525.05999999999995</v>
      </c>
      <c r="E11">
        <v>3.35</v>
      </c>
      <c r="F11">
        <v>59.32</v>
      </c>
      <c r="G11">
        <v>0.43</v>
      </c>
    </row>
    <row r="12" spans="1:7" x14ac:dyDescent="0.25">
      <c r="A12">
        <v>350</v>
      </c>
      <c r="B12" s="1">
        <f t="shared" si="1"/>
        <v>361.2</v>
      </c>
      <c r="C12" s="1">
        <f t="shared" si="2"/>
        <v>36.119999999999997</v>
      </c>
      <c r="D12">
        <v>526.66</v>
      </c>
      <c r="E12">
        <v>2.6</v>
      </c>
      <c r="F12">
        <v>64.84</v>
      </c>
      <c r="G12">
        <v>0.37</v>
      </c>
    </row>
    <row r="13" spans="1:7" x14ac:dyDescent="0.25">
      <c r="A13">
        <v>351</v>
      </c>
      <c r="B13" s="1">
        <f t="shared" si="1"/>
        <v>362.2</v>
      </c>
      <c r="C13" s="1">
        <f t="shared" si="2"/>
        <v>36.22</v>
      </c>
      <c r="D13">
        <v>527.32000000000005</v>
      </c>
      <c r="E13">
        <v>2.4</v>
      </c>
      <c r="F13">
        <v>75.25</v>
      </c>
      <c r="G13">
        <v>0.49</v>
      </c>
    </row>
    <row r="14" spans="1:7" x14ac:dyDescent="0.25">
      <c r="A14">
        <v>352</v>
      </c>
      <c r="B14" s="1">
        <f t="shared" si="1"/>
        <v>363.2</v>
      </c>
      <c r="C14" s="1">
        <f t="shared" si="2"/>
        <v>36.32</v>
      </c>
      <c r="D14">
        <v>529.36</v>
      </c>
      <c r="E14">
        <v>2.97</v>
      </c>
      <c r="F14">
        <v>92.35</v>
      </c>
      <c r="G14">
        <v>0.4</v>
      </c>
    </row>
    <row r="15" spans="1:7" x14ac:dyDescent="0.25">
      <c r="A15">
        <v>353</v>
      </c>
      <c r="B15" s="1">
        <f t="shared" si="1"/>
        <v>364.2</v>
      </c>
      <c r="C15" s="1">
        <f t="shared" si="2"/>
        <v>36.42</v>
      </c>
      <c r="D15">
        <v>529.66</v>
      </c>
      <c r="E15">
        <v>2.6</v>
      </c>
      <c r="F15">
        <v>111.06</v>
      </c>
      <c r="G15">
        <v>0.9</v>
      </c>
    </row>
    <row r="16" spans="1:7" x14ac:dyDescent="0.25">
      <c r="A16">
        <v>354</v>
      </c>
      <c r="B16" s="1">
        <f t="shared" si="1"/>
        <v>365.2</v>
      </c>
      <c r="C16" s="1">
        <f t="shared" si="2"/>
        <v>36.519999999999996</v>
      </c>
      <c r="D16">
        <v>531.12</v>
      </c>
      <c r="E16">
        <v>2.62</v>
      </c>
      <c r="F16">
        <v>133.43</v>
      </c>
      <c r="G16">
        <v>0.63</v>
      </c>
    </row>
    <row r="17" spans="1:7" x14ac:dyDescent="0.25">
      <c r="A17">
        <v>355</v>
      </c>
      <c r="B17" s="1">
        <f t="shared" si="1"/>
        <v>366.2</v>
      </c>
      <c r="C17" s="1">
        <f t="shared" si="2"/>
        <v>36.619999999999997</v>
      </c>
      <c r="D17">
        <v>533.87</v>
      </c>
      <c r="E17">
        <v>1.79</v>
      </c>
      <c r="F17">
        <v>160.03</v>
      </c>
      <c r="G17">
        <v>1.08</v>
      </c>
    </row>
    <row r="18" spans="1:7" x14ac:dyDescent="0.25">
      <c r="A18">
        <v>356</v>
      </c>
      <c r="B18" s="1">
        <f t="shared" si="1"/>
        <v>367.2</v>
      </c>
      <c r="C18" s="1">
        <f t="shared" si="2"/>
        <v>36.72</v>
      </c>
      <c r="D18">
        <v>534.75</v>
      </c>
      <c r="E18" s="1">
        <v>2.54</v>
      </c>
      <c r="F18">
        <v>191.48</v>
      </c>
      <c r="G18">
        <v>1.07</v>
      </c>
    </row>
    <row r="19" spans="1:7" x14ac:dyDescent="0.25">
      <c r="A19">
        <v>357</v>
      </c>
      <c r="B19" s="1">
        <f t="shared" si="1"/>
        <v>368.2</v>
      </c>
      <c r="C19" s="1">
        <f t="shared" si="2"/>
        <v>36.82</v>
      </c>
      <c r="D19">
        <v>534.72</v>
      </c>
      <c r="E19">
        <v>2.83</v>
      </c>
      <c r="F19">
        <v>222.37</v>
      </c>
      <c r="G19">
        <v>1.42</v>
      </c>
    </row>
    <row r="20" spans="1:7" x14ac:dyDescent="0.25">
      <c r="A20">
        <v>358</v>
      </c>
      <c r="B20" s="1">
        <f t="shared" si="1"/>
        <v>369.2</v>
      </c>
      <c r="C20" s="1">
        <f t="shared" si="2"/>
        <v>36.92</v>
      </c>
      <c r="D20">
        <v>534.39</v>
      </c>
      <c r="E20">
        <v>2.58</v>
      </c>
      <c r="F20">
        <v>242.42</v>
      </c>
      <c r="G20">
        <v>1.1100000000000001</v>
      </c>
    </row>
    <row r="21" spans="1:7" x14ac:dyDescent="0.25">
      <c r="A21">
        <v>359</v>
      </c>
      <c r="B21" s="1">
        <f t="shared" si="1"/>
        <v>370.2</v>
      </c>
      <c r="C21" s="1">
        <f t="shared" si="2"/>
        <v>37.019999999999996</v>
      </c>
      <c r="D21">
        <v>533.58000000000004</v>
      </c>
      <c r="E21">
        <v>3.71</v>
      </c>
      <c r="F21">
        <v>277.74</v>
      </c>
      <c r="G21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Ding</cp:lastModifiedBy>
  <dcterms:modified xsi:type="dcterms:W3CDTF">2019-06-21T19:03:36Z</dcterms:modified>
</cp:coreProperties>
</file>