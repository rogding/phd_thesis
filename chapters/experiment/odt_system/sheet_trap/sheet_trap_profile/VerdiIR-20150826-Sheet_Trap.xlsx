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yalp\Documents\GitHub\phd_thesis\chapters\experiment\odt_system\sheet_trap\sheet_trap_profile\"/>
    </mc:Choice>
  </mc:AlternateContent>
  <xr:revisionPtr revIDLastSave="0" documentId="13_ncr:1_{A1DF25B8-C4C5-4C90-A817-09AB901AB4A6}" xr6:coauthVersionLast="43" xr6:coauthVersionMax="43" xr10:uidLastSave="{00000000-0000-0000-0000-000000000000}"/>
  <bookViews>
    <workbookView xWindow="-108" yWindow="-108" windowWidth="23256" windowHeight="12576" tabRatio="647" activeTab="3" xr2:uid="{00000000-000D-0000-FFFF-FFFF00000000}"/>
  </bookViews>
  <sheets>
    <sheet name="1" sheetId="64" r:id="rId1"/>
    <sheet name="1-Corrected" sheetId="67" r:id="rId2"/>
    <sheet name="2" sheetId="65" r:id="rId3"/>
    <sheet name="2-Corrected" sheetId="68" r:id="rId4"/>
    <sheet name="Sheet1" sheetId="69" r:id="rId5"/>
    <sheet name="3" sheetId="6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1" i="69" l="1"/>
  <c r="B31" i="69"/>
  <c r="B30" i="69"/>
  <c r="C30" i="69" s="1"/>
  <c r="C29" i="69"/>
  <c r="B29" i="69"/>
  <c r="B28" i="69"/>
  <c r="C28" i="69" s="1"/>
  <c r="C27" i="69"/>
  <c r="B27" i="69"/>
  <c r="B26" i="69"/>
  <c r="C26" i="69" s="1"/>
  <c r="C25" i="69"/>
  <c r="B25" i="69"/>
  <c r="B24" i="69"/>
  <c r="C24" i="69" s="1"/>
  <c r="C23" i="69"/>
  <c r="B23" i="69"/>
  <c r="B22" i="69"/>
  <c r="C22" i="69" s="1"/>
  <c r="C21" i="69"/>
  <c r="B21" i="69"/>
  <c r="B20" i="69"/>
  <c r="C20" i="69" s="1"/>
  <c r="C19" i="69"/>
  <c r="B19" i="69"/>
  <c r="B18" i="69"/>
  <c r="C18" i="69" s="1"/>
  <c r="C17" i="69"/>
  <c r="B17" i="69"/>
  <c r="B16" i="69"/>
  <c r="C16" i="69" s="1"/>
  <c r="C15" i="69"/>
  <c r="B15" i="69"/>
  <c r="B14" i="69"/>
  <c r="C14" i="69" s="1"/>
  <c r="C13" i="69"/>
  <c r="B13" i="69"/>
  <c r="B12" i="69"/>
  <c r="C12" i="69" s="1"/>
  <c r="C11" i="69"/>
  <c r="B11" i="69"/>
  <c r="B10" i="69"/>
  <c r="C10" i="69" s="1"/>
  <c r="C9" i="69"/>
  <c r="B9" i="69"/>
  <c r="B8" i="69"/>
  <c r="C8" i="69" s="1"/>
  <c r="C7" i="69"/>
  <c r="B7" i="69"/>
  <c r="B6" i="69"/>
  <c r="C6" i="69" s="1"/>
  <c r="C5" i="69"/>
  <c r="B5" i="69"/>
  <c r="B4" i="69"/>
  <c r="C4" i="69" s="1"/>
  <c r="C3" i="69"/>
  <c r="B3" i="69"/>
  <c r="B2" i="69"/>
  <c r="C2" i="69" s="1"/>
  <c r="B14" i="65" l="1"/>
  <c r="B15" i="65"/>
  <c r="B16" i="65"/>
  <c r="B17" i="65"/>
  <c r="B18" i="65"/>
  <c r="B19" i="65"/>
  <c r="B20" i="65"/>
  <c r="B21" i="65"/>
  <c r="B22" i="65"/>
  <c r="B23" i="65"/>
  <c r="B24" i="65"/>
  <c r="B25" i="65"/>
  <c r="B26" i="65"/>
  <c r="B27" i="65"/>
  <c r="B28" i="65"/>
  <c r="B29" i="65"/>
  <c r="B30" i="65"/>
  <c r="B31" i="65"/>
  <c r="B32" i="65"/>
  <c r="B33" i="65"/>
  <c r="B34" i="65"/>
  <c r="B35" i="65"/>
  <c r="B36" i="65"/>
  <c r="B37" i="65"/>
  <c r="B38" i="65"/>
  <c r="B39" i="65"/>
  <c r="B40" i="65"/>
  <c r="B41" i="65"/>
  <c r="B42" i="65"/>
  <c r="B13" i="65"/>
  <c r="B14" i="67"/>
  <c r="C14" i="67" s="1"/>
  <c r="B15" i="67"/>
  <c r="C15" i="67" s="1"/>
  <c r="B16" i="67"/>
  <c r="B17" i="67"/>
  <c r="C17" i="67" s="1"/>
  <c r="B18" i="67"/>
  <c r="C18" i="67" s="1"/>
  <c r="B19" i="67"/>
  <c r="C19" i="67" s="1"/>
  <c r="B20" i="67"/>
  <c r="C20" i="67" s="1"/>
  <c r="B21" i="67"/>
  <c r="C21" i="67" s="1"/>
  <c r="B22" i="67"/>
  <c r="B23" i="67"/>
  <c r="C23" i="67" s="1"/>
  <c r="B24" i="67"/>
  <c r="B25" i="67"/>
  <c r="B26" i="67"/>
  <c r="B27" i="67"/>
  <c r="C27" i="67" s="1"/>
  <c r="B28" i="67"/>
  <c r="C28" i="67" s="1"/>
  <c r="B29" i="67"/>
  <c r="C29" i="67" s="1"/>
  <c r="B30" i="67"/>
  <c r="C30" i="67" s="1"/>
  <c r="B31" i="67"/>
  <c r="C31" i="67" s="1"/>
  <c r="B32" i="67"/>
  <c r="B33" i="67"/>
  <c r="C33" i="67" s="1"/>
  <c r="B34" i="67"/>
  <c r="C34" i="67" s="1"/>
  <c r="B35" i="67"/>
  <c r="C35" i="67" s="1"/>
  <c r="B36" i="67"/>
  <c r="C36" i="67" s="1"/>
  <c r="B37" i="67"/>
  <c r="C37" i="67" s="1"/>
  <c r="B13" i="67"/>
  <c r="C13" i="67" s="1"/>
  <c r="M42" i="68"/>
  <c r="L42" i="68"/>
  <c r="B42" i="68"/>
  <c r="C42" i="68" s="1"/>
  <c r="M41" i="68"/>
  <c r="L41" i="68"/>
  <c r="B41" i="68"/>
  <c r="C41" i="68" s="1"/>
  <c r="M40" i="68"/>
  <c r="L40" i="68"/>
  <c r="B40" i="68"/>
  <c r="C40" i="68" s="1"/>
  <c r="M39" i="68"/>
  <c r="L39" i="68"/>
  <c r="B39" i="68"/>
  <c r="C39" i="68" s="1"/>
  <c r="M38" i="68"/>
  <c r="L38" i="68"/>
  <c r="B38" i="68"/>
  <c r="C38" i="68" s="1"/>
  <c r="M37" i="68"/>
  <c r="L37" i="68"/>
  <c r="B37" i="68"/>
  <c r="C37" i="68" s="1"/>
  <c r="M36" i="68"/>
  <c r="L36" i="68"/>
  <c r="B36" i="68"/>
  <c r="C36" i="68" s="1"/>
  <c r="M35" i="68"/>
  <c r="L35" i="68"/>
  <c r="B35" i="68"/>
  <c r="C35" i="68" s="1"/>
  <c r="M34" i="68"/>
  <c r="L34" i="68"/>
  <c r="B34" i="68"/>
  <c r="C34" i="68" s="1"/>
  <c r="M33" i="68"/>
  <c r="L33" i="68"/>
  <c r="B33" i="68"/>
  <c r="C33" i="68" s="1"/>
  <c r="M32" i="68"/>
  <c r="L32" i="68"/>
  <c r="B32" i="68"/>
  <c r="C32" i="68" s="1"/>
  <c r="M31" i="68"/>
  <c r="L31" i="68"/>
  <c r="B31" i="68"/>
  <c r="C31" i="68" s="1"/>
  <c r="M30" i="68"/>
  <c r="L30" i="68"/>
  <c r="B30" i="68"/>
  <c r="C30" i="68" s="1"/>
  <c r="M29" i="68"/>
  <c r="L29" i="68"/>
  <c r="B29" i="68"/>
  <c r="C29" i="68" s="1"/>
  <c r="M28" i="68"/>
  <c r="L28" i="68"/>
  <c r="B28" i="68"/>
  <c r="C28" i="68" s="1"/>
  <c r="M27" i="68"/>
  <c r="L27" i="68"/>
  <c r="B27" i="68"/>
  <c r="C27" i="68" s="1"/>
  <c r="M26" i="68"/>
  <c r="L26" i="68"/>
  <c r="B26" i="68"/>
  <c r="C26" i="68" s="1"/>
  <c r="M25" i="68"/>
  <c r="L25" i="68"/>
  <c r="B25" i="68"/>
  <c r="C25" i="68" s="1"/>
  <c r="M24" i="68"/>
  <c r="L24" i="68"/>
  <c r="B24" i="68"/>
  <c r="C24" i="68" s="1"/>
  <c r="M23" i="68"/>
  <c r="L23" i="68"/>
  <c r="B23" i="68"/>
  <c r="C23" i="68" s="1"/>
  <c r="M22" i="68"/>
  <c r="L22" i="68"/>
  <c r="B22" i="68"/>
  <c r="C22" i="68" s="1"/>
  <c r="M21" i="68"/>
  <c r="L21" i="68"/>
  <c r="B21" i="68"/>
  <c r="C21" i="68" s="1"/>
  <c r="M20" i="68"/>
  <c r="L20" i="68"/>
  <c r="B20" i="68"/>
  <c r="C20" i="68" s="1"/>
  <c r="M19" i="68"/>
  <c r="L19" i="68"/>
  <c r="B19" i="68"/>
  <c r="C19" i="68" s="1"/>
  <c r="M18" i="68"/>
  <c r="L18" i="68"/>
  <c r="B18" i="68"/>
  <c r="C18" i="68" s="1"/>
  <c r="M17" i="68"/>
  <c r="L17" i="68"/>
  <c r="B17" i="68"/>
  <c r="C17" i="68" s="1"/>
  <c r="M16" i="68"/>
  <c r="L16" i="68"/>
  <c r="B16" i="68"/>
  <c r="C16" i="68" s="1"/>
  <c r="M15" i="68"/>
  <c r="L15" i="68"/>
  <c r="B15" i="68"/>
  <c r="C15" i="68" s="1"/>
  <c r="M14" i="68"/>
  <c r="L14" i="68"/>
  <c r="B14" i="68"/>
  <c r="C14" i="68" s="1"/>
  <c r="M13" i="68"/>
  <c r="L13" i="68"/>
  <c r="B13" i="68"/>
  <c r="C13" i="68" s="1"/>
  <c r="M37" i="67"/>
  <c r="L37" i="67"/>
  <c r="M36" i="67"/>
  <c r="L36" i="67"/>
  <c r="M35" i="67"/>
  <c r="L35" i="67"/>
  <c r="M34" i="67"/>
  <c r="L34" i="67"/>
  <c r="M33" i="67"/>
  <c r="L33" i="67"/>
  <c r="M32" i="67"/>
  <c r="L32" i="67"/>
  <c r="C32" i="67"/>
  <c r="M31" i="67"/>
  <c r="L31" i="67"/>
  <c r="M30" i="67"/>
  <c r="L30" i="67"/>
  <c r="M29" i="67"/>
  <c r="L29" i="67"/>
  <c r="M28" i="67"/>
  <c r="L28" i="67"/>
  <c r="M27" i="67"/>
  <c r="L27" i="67"/>
  <c r="M26" i="67"/>
  <c r="L26" i="67"/>
  <c r="C26" i="67"/>
  <c r="M25" i="67"/>
  <c r="L25" i="67"/>
  <c r="C25" i="67"/>
  <c r="M24" i="67"/>
  <c r="L24" i="67"/>
  <c r="C24" i="67"/>
  <c r="M23" i="67"/>
  <c r="L23" i="67"/>
  <c r="M22" i="67"/>
  <c r="L22" i="67"/>
  <c r="C22" i="67"/>
  <c r="M21" i="67"/>
  <c r="L21" i="67"/>
  <c r="M20" i="67"/>
  <c r="L20" i="67"/>
  <c r="M19" i="67"/>
  <c r="L19" i="67"/>
  <c r="M18" i="67"/>
  <c r="L18" i="67"/>
  <c r="M17" i="67"/>
  <c r="L17" i="67"/>
  <c r="M16" i="67"/>
  <c r="L16" i="67"/>
  <c r="C16" i="67"/>
  <c r="M15" i="67"/>
  <c r="L15" i="67"/>
  <c r="M14" i="67"/>
  <c r="L14" i="67"/>
  <c r="M13" i="67"/>
  <c r="L13" i="67"/>
  <c r="B14" i="64" l="1"/>
  <c r="B15" i="64"/>
  <c r="B16" i="64"/>
  <c r="B17" i="64"/>
  <c r="B18" i="64"/>
  <c r="B19" i="64"/>
  <c r="B20" i="64"/>
  <c r="B21" i="64"/>
  <c r="B22" i="64"/>
  <c r="B23" i="64"/>
  <c r="B24" i="64"/>
  <c r="B25" i="64"/>
  <c r="B26" i="64"/>
  <c r="B27" i="64"/>
  <c r="B28" i="64"/>
  <c r="B29" i="64"/>
  <c r="B30" i="64"/>
  <c r="B31" i="64"/>
  <c r="B32" i="64"/>
  <c r="B33" i="64"/>
  <c r="B34" i="64"/>
  <c r="B35" i="64"/>
  <c r="B36" i="64"/>
  <c r="B37" i="64"/>
  <c r="B13" i="64"/>
  <c r="B14" i="66" l="1"/>
  <c r="B15" i="66"/>
  <c r="B16" i="66"/>
  <c r="B17" i="66"/>
  <c r="B18" i="66"/>
  <c r="C18" i="66" s="1"/>
  <c r="B19" i="66"/>
  <c r="B20" i="66"/>
  <c r="B21" i="66"/>
  <c r="B22" i="66"/>
  <c r="B23" i="66"/>
  <c r="B24" i="66"/>
  <c r="B25" i="66"/>
  <c r="B26" i="66"/>
  <c r="B27" i="66"/>
  <c r="B28" i="66"/>
  <c r="B29" i="66"/>
  <c r="B30" i="66"/>
  <c r="B31" i="66"/>
  <c r="B32" i="66"/>
  <c r="B33" i="66"/>
  <c r="B34" i="66"/>
  <c r="B35" i="66"/>
  <c r="B36" i="66"/>
  <c r="B37" i="66"/>
  <c r="B38" i="66"/>
  <c r="B39" i="66"/>
  <c r="B40" i="66"/>
  <c r="B41" i="66"/>
  <c r="B42" i="66"/>
  <c r="B43" i="66"/>
  <c r="B44" i="66"/>
  <c r="B45" i="66"/>
  <c r="B46" i="66"/>
  <c r="B13" i="66"/>
  <c r="C13" i="66" s="1"/>
  <c r="L14" i="66"/>
  <c r="M14" i="66"/>
  <c r="L15" i="66"/>
  <c r="M15" i="66"/>
  <c r="L16" i="66"/>
  <c r="M16" i="66"/>
  <c r="L17" i="66"/>
  <c r="M17" i="66"/>
  <c r="L18" i="66"/>
  <c r="M18" i="66"/>
  <c r="C14" i="66"/>
  <c r="C15" i="66"/>
  <c r="C16" i="66"/>
  <c r="C17" i="66"/>
  <c r="M46" i="66" l="1"/>
  <c r="L46" i="66"/>
  <c r="C46" i="66"/>
  <c r="M45" i="66"/>
  <c r="L45" i="66"/>
  <c r="C45" i="66"/>
  <c r="M44" i="66"/>
  <c r="L44" i="66"/>
  <c r="C44" i="66"/>
  <c r="M43" i="66"/>
  <c r="L43" i="66"/>
  <c r="C43" i="66"/>
  <c r="M42" i="66"/>
  <c r="L42" i="66"/>
  <c r="C42" i="66"/>
  <c r="M41" i="66"/>
  <c r="L41" i="66"/>
  <c r="C41" i="66"/>
  <c r="M40" i="66"/>
  <c r="L40" i="66"/>
  <c r="C40" i="66"/>
  <c r="M39" i="66"/>
  <c r="L39" i="66"/>
  <c r="C39" i="66"/>
  <c r="M38" i="66"/>
  <c r="L38" i="66"/>
  <c r="C38" i="66"/>
  <c r="M37" i="66"/>
  <c r="L37" i="66"/>
  <c r="C37" i="66"/>
  <c r="M36" i="66"/>
  <c r="L36" i="66"/>
  <c r="C36" i="66"/>
  <c r="M35" i="66"/>
  <c r="L35" i="66"/>
  <c r="C35" i="66"/>
  <c r="M34" i="66"/>
  <c r="L34" i="66"/>
  <c r="C34" i="66"/>
  <c r="M33" i="66"/>
  <c r="L33" i="66"/>
  <c r="C33" i="66"/>
  <c r="M32" i="66"/>
  <c r="L32" i="66"/>
  <c r="C32" i="66"/>
  <c r="M31" i="66"/>
  <c r="L31" i="66"/>
  <c r="C31" i="66"/>
  <c r="M30" i="66"/>
  <c r="L30" i="66"/>
  <c r="C30" i="66"/>
  <c r="M29" i="66"/>
  <c r="L29" i="66"/>
  <c r="C29" i="66"/>
  <c r="M28" i="66"/>
  <c r="L28" i="66"/>
  <c r="C28" i="66"/>
  <c r="M27" i="66"/>
  <c r="L27" i="66"/>
  <c r="C27" i="66"/>
  <c r="M26" i="66"/>
  <c r="L26" i="66"/>
  <c r="C26" i="66"/>
  <c r="M25" i="66"/>
  <c r="L25" i="66"/>
  <c r="C25" i="66"/>
  <c r="M24" i="66"/>
  <c r="L24" i="66"/>
  <c r="C24" i="66"/>
  <c r="M23" i="66"/>
  <c r="L23" i="66"/>
  <c r="C23" i="66"/>
  <c r="M22" i="66"/>
  <c r="L22" i="66"/>
  <c r="C22" i="66"/>
  <c r="M21" i="66"/>
  <c r="L21" i="66"/>
  <c r="C21" i="66"/>
  <c r="M20" i="66"/>
  <c r="L20" i="66"/>
  <c r="C20" i="66"/>
  <c r="M19" i="66"/>
  <c r="L19" i="66"/>
  <c r="C19" i="66"/>
  <c r="C18" i="65" l="1"/>
  <c r="C21" i="65"/>
  <c r="C26" i="65"/>
  <c r="C29" i="65"/>
  <c r="C33" i="65"/>
  <c r="C34" i="65"/>
  <c r="C35" i="65"/>
  <c r="C36" i="65"/>
  <c r="C37" i="65"/>
  <c r="C41" i="65"/>
  <c r="C42" i="65"/>
  <c r="C13" i="65"/>
  <c r="L42" i="65"/>
  <c r="M42" i="65"/>
  <c r="L41" i="65"/>
  <c r="M41" i="65"/>
  <c r="L40" i="65"/>
  <c r="M40" i="65"/>
  <c r="L39" i="65"/>
  <c r="M39" i="65"/>
  <c r="L38" i="65"/>
  <c r="M38" i="65"/>
  <c r="L37" i="65"/>
  <c r="M37" i="65"/>
  <c r="C38" i="65"/>
  <c r="C39" i="65"/>
  <c r="C40" i="65"/>
  <c r="L36" i="65"/>
  <c r="M36" i="65"/>
  <c r="L35" i="65"/>
  <c r="M35" i="65"/>
  <c r="L34" i="65"/>
  <c r="M34" i="65"/>
  <c r="L33" i="65"/>
  <c r="M33" i="65"/>
  <c r="L32" i="65"/>
  <c r="M32" i="65"/>
  <c r="C32" i="65"/>
  <c r="L31" i="65"/>
  <c r="M31" i="65"/>
  <c r="C31" i="65"/>
  <c r="L30" i="65"/>
  <c r="M30" i="65"/>
  <c r="L29" i="65"/>
  <c r="M29" i="65"/>
  <c r="C30" i="65"/>
  <c r="M28" i="65"/>
  <c r="L28" i="65"/>
  <c r="C28" i="65"/>
  <c r="M27" i="65"/>
  <c r="L27" i="65"/>
  <c r="C27" i="65"/>
  <c r="M26" i="65"/>
  <c r="L26" i="65"/>
  <c r="M25" i="65"/>
  <c r="L25" i="65"/>
  <c r="C25" i="65"/>
  <c r="M24" i="65"/>
  <c r="L24" i="65"/>
  <c r="C24" i="65"/>
  <c r="M23" i="65"/>
  <c r="L23" i="65"/>
  <c r="C23" i="65"/>
  <c r="M22" i="65"/>
  <c r="L22" i="65"/>
  <c r="C22" i="65"/>
  <c r="M21" i="65"/>
  <c r="L21" i="65"/>
  <c r="M20" i="65"/>
  <c r="L20" i="65"/>
  <c r="C20" i="65"/>
  <c r="M19" i="65"/>
  <c r="L19" i="65"/>
  <c r="C19" i="65"/>
  <c r="M18" i="65"/>
  <c r="L18" i="65"/>
  <c r="M17" i="65"/>
  <c r="L17" i="65"/>
  <c r="C17" i="65"/>
  <c r="M16" i="65"/>
  <c r="L16" i="65"/>
  <c r="C16" i="65"/>
  <c r="M15" i="65"/>
  <c r="L15" i="65"/>
  <c r="C15" i="65"/>
  <c r="M14" i="65"/>
  <c r="L14" i="65"/>
  <c r="C14" i="65"/>
  <c r="M13" i="65"/>
  <c r="L13" i="65"/>
  <c r="C29" i="64" l="1"/>
  <c r="C36" i="64"/>
  <c r="C37" i="64"/>
  <c r="L37" i="64"/>
  <c r="M37" i="64"/>
  <c r="L36" i="64"/>
  <c r="M36" i="64"/>
  <c r="L35" i="64"/>
  <c r="M35" i="64"/>
  <c r="L34" i="64"/>
  <c r="M34" i="64"/>
  <c r="L33" i="64"/>
  <c r="M33" i="64"/>
  <c r="L32" i="64"/>
  <c r="M32" i="64"/>
  <c r="L31" i="64"/>
  <c r="M31" i="64"/>
  <c r="L30" i="64"/>
  <c r="M30" i="64"/>
  <c r="C30" i="64"/>
  <c r="C31" i="64"/>
  <c r="C32" i="64"/>
  <c r="C33" i="64"/>
  <c r="C34" i="64"/>
  <c r="C35" i="64"/>
  <c r="L29" i="64"/>
  <c r="M29" i="64"/>
  <c r="C20" i="64" l="1"/>
  <c r="C21" i="64"/>
  <c r="C26" i="64"/>
  <c r="C27" i="64"/>
  <c r="C28" i="64"/>
  <c r="M13" i="64"/>
  <c r="L13" i="64"/>
  <c r="C13" i="64"/>
  <c r="M28" i="64"/>
  <c r="L28" i="64"/>
  <c r="M27" i="64"/>
  <c r="L27" i="64"/>
  <c r="M26" i="64"/>
  <c r="L26" i="64"/>
  <c r="M25" i="64"/>
  <c r="L25" i="64"/>
  <c r="C25" i="64"/>
  <c r="M24" i="64"/>
  <c r="L24" i="64"/>
  <c r="C24" i="64"/>
  <c r="M23" i="64"/>
  <c r="L23" i="64"/>
  <c r="C23" i="64"/>
  <c r="M22" i="64"/>
  <c r="L22" i="64"/>
  <c r="C22" i="64"/>
  <c r="M21" i="64"/>
  <c r="L21" i="64"/>
  <c r="M20" i="64"/>
  <c r="L20" i="64"/>
  <c r="M19" i="64"/>
  <c r="L19" i="64"/>
  <c r="C19" i="64"/>
  <c r="M18" i="64"/>
  <c r="L18" i="64"/>
  <c r="C18" i="64"/>
  <c r="M17" i="64"/>
  <c r="L17" i="64"/>
  <c r="C17" i="64"/>
  <c r="M16" i="64"/>
  <c r="L16" i="64"/>
  <c r="C16" i="64"/>
  <c r="M15" i="64"/>
  <c r="L15" i="64"/>
  <c r="C15" i="64"/>
  <c r="M14" i="64"/>
  <c r="L14" i="64"/>
  <c r="C14" i="64"/>
</calcChain>
</file>

<file path=xl/sharedStrings.xml><?xml version="1.0" encoding="utf-8"?>
<sst xmlns="http://schemas.openxmlformats.org/spreadsheetml/2006/main" count="177" uniqueCount="46">
  <si>
    <t>Date</t>
  </si>
  <si>
    <t>S/N</t>
  </si>
  <si>
    <t>Notes</t>
  </si>
  <si>
    <t>Lambda [nm]</t>
  </si>
  <si>
    <t>Track Dist [mm]</t>
  </si>
  <si>
    <t>Beam position on BM901 profiler</t>
  </si>
  <si>
    <t>Beam profile</t>
  </si>
  <si>
    <t>Calculated distances</t>
  </si>
  <si>
    <t>V/W</t>
  </si>
  <si>
    <t>W/V</t>
  </si>
  <si>
    <t>Attenuator</t>
  </si>
  <si>
    <t>Dist [mm]</t>
  </si>
  <si>
    <t>Dist [cm]</t>
  </si>
  <si>
    <t>V centroid [um]</t>
  </si>
  <si>
    <t>W centroid [um]</t>
  </si>
  <si>
    <t>Resolution</t>
  </si>
  <si>
    <t>Low</t>
  </si>
  <si>
    <t>Source</t>
  </si>
  <si>
    <t xml:space="preserve">HPUCO-T,3AHP-1060-S-6.2AS-UNL  </t>
  </si>
  <si>
    <t>191548-1</t>
  </si>
  <si>
    <t>1064 power on detector [mW]</t>
  </si>
  <si>
    <t>Profiler head angle [deg]</t>
  </si>
  <si>
    <t>NG4</t>
  </si>
  <si>
    <t>V width e^-2 [um]</t>
  </si>
  <si>
    <t>W width e^-2 [um]</t>
  </si>
  <si>
    <t>V std. dev. [um]</t>
  </si>
  <si>
    <t>W std. dev. [um]</t>
  </si>
  <si>
    <t>V centroid std. dev. [um]</t>
  </si>
  <si>
    <t>W centroid std. dev. [um]</t>
  </si>
  <si>
    <t>~5</t>
  </si>
  <si>
    <t>High</t>
  </si>
  <si>
    <t>~4.5</t>
  </si>
  <si>
    <t xml:space="preserve">Peak with shoulders in V profile. </t>
  </si>
  <si>
    <t xml:space="preserve">More defined double peak in V. </t>
  </si>
  <si>
    <t>Double peaked profile in V.</t>
  </si>
  <si>
    <t xml:space="preserve">Single peak in V, good fit. </t>
  </si>
  <si>
    <t>Double peak in V.</t>
  </si>
  <si>
    <t>Very nice V profile fit.</t>
  </si>
  <si>
    <r>
      <t xml:space="preserve">Profile of output from the HPUCO collimator from OZ Optics:
</t>
    </r>
    <r>
      <rPr>
        <b/>
        <sz val="10"/>
        <color rgb="FFFF0000"/>
        <rFont val="Arial"/>
        <family val="2"/>
      </rPr>
      <t>-Corrected distances.</t>
    </r>
    <r>
      <rPr>
        <sz val="10"/>
        <color rgb="FF000000"/>
        <rFont val="Arial"/>
        <family val="2"/>
      </rPr>
      <t xml:space="preserve">
-Polarization key is aligned mostly downwards, collimator aligned for beam shape instead of polarization. 
-V is vertical (+V points downwards), H is horizontal.
-No averaging. 
-Distance measured from the end of the cage system (~10.75 in from front of collimator.</t>
    </r>
  </si>
  <si>
    <r>
      <t xml:space="preserve">Profile of output from the HPUCO collimator from OZ Optics:
</t>
    </r>
    <r>
      <rPr>
        <b/>
        <sz val="10"/>
        <color rgb="FFFF0000"/>
        <rFont val="Arial"/>
        <family val="2"/>
      </rPr>
      <t>-Uncorrected distances.</t>
    </r>
    <r>
      <rPr>
        <sz val="10"/>
        <color rgb="FF000000"/>
        <rFont val="Arial"/>
        <family val="2"/>
      </rPr>
      <t xml:space="preserve">
-Polarization key is aligned mostly downwards, collimator aligned for beam shape instead of polarization. 
-V is vertical (+V points downwards), H is horizontal.
-No averaging. 
-Distance measured from the end of the cage system (~10.75 in from front of collimator.</t>
    </r>
  </si>
  <si>
    <r>
      <t xml:space="preserve">Profile of output from the completed sheet trap cage system.
</t>
    </r>
    <r>
      <rPr>
        <b/>
        <sz val="10"/>
        <color rgb="FFFF0000"/>
        <rFont val="Arial"/>
        <family val="2"/>
      </rPr>
      <t>-Uncorrected distances.</t>
    </r>
    <r>
      <rPr>
        <sz val="10"/>
        <color rgb="FF000000"/>
        <rFont val="Arial"/>
        <family val="2"/>
      </rPr>
      <t xml:space="preserve">
-Polarization key is aligned mostly downwards, collimator aligned for beam shape instead of polarization. 
-V is vertical (+V points downwards), H is horizontal.
-Placed all 4 lenses.
-Distance measured from the end of the cage system (~10.75 in from front of collimator).
-Profiled V in high-res, then H in high-res.
-50 data points, no averaging. </t>
    </r>
  </si>
  <si>
    <r>
      <t xml:space="preserve">Profile of output from the completed sheet trap cage system.
</t>
    </r>
    <r>
      <rPr>
        <b/>
        <sz val="10"/>
        <color rgb="FFFF0000"/>
        <rFont val="Arial"/>
        <family val="2"/>
      </rPr>
      <t>-Corrected distances.</t>
    </r>
    <r>
      <rPr>
        <sz val="10"/>
        <color rgb="FF000000"/>
        <rFont val="Arial"/>
        <family val="2"/>
      </rPr>
      <t xml:space="preserve">
-Polarization key is aligned mostly downwards, collimator aligned for beam shape instead of polarization. 
-V is vertical (+V points downwards), H is horizontal.
-Placed all 4 lenses.
-Distance measured from the end of the cage system (~10.75 in from front of collimator).
-Profiled V in high-res, then H in high-res.
-50 data points, no averaging. </t>
    </r>
  </si>
  <si>
    <r>
      <t xml:space="preserve">Profile of output from the completed sheet trap cage system (flipped f = 500 mm cyl lens around).
</t>
    </r>
    <r>
      <rPr>
        <b/>
        <sz val="10"/>
        <color rgb="FF000000"/>
        <rFont val="Arial"/>
        <family val="2"/>
      </rPr>
      <t>-Distances are correct.</t>
    </r>
    <r>
      <rPr>
        <sz val="10"/>
        <color rgb="FF000000"/>
        <rFont val="Arial"/>
        <family val="2"/>
      </rPr>
      <t xml:space="preserve">
-Polarization key is aligned mostly downwards, collimator aligned for beam shape instead of polarization. 
-V is vertical (+V points downwards), H is horizontal.
-Placed all 4 lenses.
-Distance measured from the end of the cage system (~10.75 in from front of collimator).
-Profiled V in high-res, then W in high-res.
-50 data points, no averaging. </t>
    </r>
  </si>
  <si>
    <t>Track dist [mm]</t>
  </si>
  <si>
    <t>Calculated dist [mm]</t>
  </si>
  <si>
    <t>Calculated dist [cm]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</si>
</sst>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 x14ac:knownFonts="1"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'1'!$D$12</c:f>
              <c:strCache>
                <c:ptCount val="1"/>
                <c:pt idx="0">
                  <c:v>V width e^-2 [um]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'1'!$C$13:$C$39</c:f>
              <c:numCache>
                <c:formatCode>General</c:formatCode>
                <c:ptCount val="27"/>
                <c:pt idx="0">
                  <c:v>0.92000000000000026</c:v>
                </c:pt>
                <c:pt idx="1">
                  <c:v>2.9200000000000004</c:v>
                </c:pt>
                <c:pt idx="2">
                  <c:v>4.92</c:v>
                </c:pt>
                <c:pt idx="3">
                  <c:v>6.92</c:v>
                </c:pt>
                <c:pt idx="4">
                  <c:v>8.92</c:v>
                </c:pt>
                <c:pt idx="5">
                  <c:v>10.92</c:v>
                </c:pt>
                <c:pt idx="6">
                  <c:v>12.919999999999998</c:v>
                </c:pt>
                <c:pt idx="7">
                  <c:v>14.919999999999998</c:v>
                </c:pt>
                <c:pt idx="8">
                  <c:v>16.919999999999998</c:v>
                </c:pt>
                <c:pt idx="9">
                  <c:v>18.919999999999998</c:v>
                </c:pt>
                <c:pt idx="10">
                  <c:v>20.919999999999998</c:v>
                </c:pt>
                <c:pt idx="11">
                  <c:v>22.919999999999998</c:v>
                </c:pt>
                <c:pt idx="12">
                  <c:v>24.919999999999998</c:v>
                </c:pt>
                <c:pt idx="13">
                  <c:v>26.919999999999998</c:v>
                </c:pt>
                <c:pt idx="14">
                  <c:v>28.919999999999998</c:v>
                </c:pt>
                <c:pt idx="15">
                  <c:v>30.919999999999998</c:v>
                </c:pt>
                <c:pt idx="16">
                  <c:v>32.92</c:v>
                </c:pt>
                <c:pt idx="17">
                  <c:v>34.92</c:v>
                </c:pt>
                <c:pt idx="18">
                  <c:v>36.92</c:v>
                </c:pt>
                <c:pt idx="19">
                  <c:v>38.92</c:v>
                </c:pt>
                <c:pt idx="20">
                  <c:v>40.92</c:v>
                </c:pt>
                <c:pt idx="21">
                  <c:v>42.92</c:v>
                </c:pt>
                <c:pt idx="22">
                  <c:v>44.92</c:v>
                </c:pt>
                <c:pt idx="23">
                  <c:v>46.92</c:v>
                </c:pt>
                <c:pt idx="24">
                  <c:v>48.92</c:v>
                </c:pt>
              </c:numCache>
            </c:numRef>
          </c:xVal>
          <c:yVal>
            <c:numRef>
              <c:f>'1'!$D$13:$D$39</c:f>
              <c:numCache>
                <c:formatCode>General</c:formatCode>
                <c:ptCount val="27"/>
                <c:pt idx="0">
                  <c:v>1155.81</c:v>
                </c:pt>
                <c:pt idx="1">
                  <c:v>1154.53</c:v>
                </c:pt>
                <c:pt idx="2">
                  <c:v>1152.21</c:v>
                </c:pt>
                <c:pt idx="3">
                  <c:v>1152.28</c:v>
                </c:pt>
                <c:pt idx="4">
                  <c:v>1151.8900000000001</c:v>
                </c:pt>
                <c:pt idx="5">
                  <c:v>1151.8399999999999</c:v>
                </c:pt>
                <c:pt idx="6">
                  <c:v>1150.9100000000001</c:v>
                </c:pt>
                <c:pt idx="7">
                  <c:v>1152.3699999999999</c:v>
                </c:pt>
                <c:pt idx="8">
                  <c:v>1151.5999999999999</c:v>
                </c:pt>
                <c:pt idx="9">
                  <c:v>1151.1600000000001</c:v>
                </c:pt>
                <c:pt idx="10">
                  <c:v>1151.7</c:v>
                </c:pt>
                <c:pt idx="11">
                  <c:v>1151.78</c:v>
                </c:pt>
                <c:pt idx="12">
                  <c:v>1150.08</c:v>
                </c:pt>
                <c:pt idx="13">
                  <c:v>1152.03</c:v>
                </c:pt>
                <c:pt idx="14">
                  <c:v>1154.51</c:v>
                </c:pt>
                <c:pt idx="15">
                  <c:v>1157.6500000000001</c:v>
                </c:pt>
                <c:pt idx="16">
                  <c:v>1161.1400000000001</c:v>
                </c:pt>
                <c:pt idx="17">
                  <c:v>1163.8</c:v>
                </c:pt>
                <c:pt idx="18">
                  <c:v>1168.29</c:v>
                </c:pt>
                <c:pt idx="19">
                  <c:v>1172.01</c:v>
                </c:pt>
                <c:pt idx="20">
                  <c:v>1173.96</c:v>
                </c:pt>
                <c:pt idx="21">
                  <c:v>1175.56</c:v>
                </c:pt>
                <c:pt idx="22">
                  <c:v>1181.29</c:v>
                </c:pt>
                <c:pt idx="23">
                  <c:v>1187.1500000000001</c:v>
                </c:pt>
                <c:pt idx="24">
                  <c:v>1193.53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F3-4415-A938-FD98BDE08169}"/>
            </c:ext>
          </c:extLst>
        </c:ser>
        <c:ser>
          <c:idx val="1"/>
          <c:order val="1"/>
          <c:tx>
            <c:strRef>
              <c:f>'1'!$F$12</c:f>
              <c:strCache>
                <c:ptCount val="1"/>
                <c:pt idx="0">
                  <c:v>W width e^-2 [um]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'1'!$C$13:$C$39</c:f>
              <c:numCache>
                <c:formatCode>General</c:formatCode>
                <c:ptCount val="27"/>
                <c:pt idx="0">
                  <c:v>0.92000000000000026</c:v>
                </c:pt>
                <c:pt idx="1">
                  <c:v>2.9200000000000004</c:v>
                </c:pt>
                <c:pt idx="2">
                  <c:v>4.92</c:v>
                </c:pt>
                <c:pt idx="3">
                  <c:v>6.92</c:v>
                </c:pt>
                <c:pt idx="4">
                  <c:v>8.92</c:v>
                </c:pt>
                <c:pt idx="5">
                  <c:v>10.92</c:v>
                </c:pt>
                <c:pt idx="6">
                  <c:v>12.919999999999998</c:v>
                </c:pt>
                <c:pt idx="7">
                  <c:v>14.919999999999998</c:v>
                </c:pt>
                <c:pt idx="8">
                  <c:v>16.919999999999998</c:v>
                </c:pt>
                <c:pt idx="9">
                  <c:v>18.919999999999998</c:v>
                </c:pt>
                <c:pt idx="10">
                  <c:v>20.919999999999998</c:v>
                </c:pt>
                <c:pt idx="11">
                  <c:v>22.919999999999998</c:v>
                </c:pt>
                <c:pt idx="12">
                  <c:v>24.919999999999998</c:v>
                </c:pt>
                <c:pt idx="13">
                  <c:v>26.919999999999998</c:v>
                </c:pt>
                <c:pt idx="14">
                  <c:v>28.919999999999998</c:v>
                </c:pt>
                <c:pt idx="15">
                  <c:v>30.919999999999998</c:v>
                </c:pt>
                <c:pt idx="16">
                  <c:v>32.92</c:v>
                </c:pt>
                <c:pt idx="17">
                  <c:v>34.92</c:v>
                </c:pt>
                <c:pt idx="18">
                  <c:v>36.92</c:v>
                </c:pt>
                <c:pt idx="19">
                  <c:v>38.92</c:v>
                </c:pt>
                <c:pt idx="20">
                  <c:v>40.92</c:v>
                </c:pt>
                <c:pt idx="21">
                  <c:v>42.92</c:v>
                </c:pt>
                <c:pt idx="22">
                  <c:v>44.92</c:v>
                </c:pt>
                <c:pt idx="23">
                  <c:v>46.92</c:v>
                </c:pt>
                <c:pt idx="24">
                  <c:v>48.92</c:v>
                </c:pt>
              </c:numCache>
            </c:numRef>
          </c:xVal>
          <c:yVal>
            <c:numRef>
              <c:f>'1'!$F$13:$F$39</c:f>
              <c:numCache>
                <c:formatCode>General</c:formatCode>
                <c:ptCount val="27"/>
                <c:pt idx="0">
                  <c:v>982.69</c:v>
                </c:pt>
                <c:pt idx="1">
                  <c:v>977.81</c:v>
                </c:pt>
                <c:pt idx="2">
                  <c:v>973.76</c:v>
                </c:pt>
                <c:pt idx="3">
                  <c:v>968.66</c:v>
                </c:pt>
                <c:pt idx="4">
                  <c:v>966.8</c:v>
                </c:pt>
                <c:pt idx="5">
                  <c:v>963.76</c:v>
                </c:pt>
                <c:pt idx="6">
                  <c:v>959.55</c:v>
                </c:pt>
                <c:pt idx="7">
                  <c:v>957.85</c:v>
                </c:pt>
                <c:pt idx="8">
                  <c:v>956.27</c:v>
                </c:pt>
                <c:pt idx="9">
                  <c:v>957.13</c:v>
                </c:pt>
                <c:pt idx="10">
                  <c:v>954.8</c:v>
                </c:pt>
                <c:pt idx="11">
                  <c:v>953.84</c:v>
                </c:pt>
                <c:pt idx="12">
                  <c:v>956.35</c:v>
                </c:pt>
                <c:pt idx="13">
                  <c:v>955.14</c:v>
                </c:pt>
                <c:pt idx="14">
                  <c:v>957.01</c:v>
                </c:pt>
                <c:pt idx="15">
                  <c:v>958.86</c:v>
                </c:pt>
                <c:pt idx="16">
                  <c:v>963.29</c:v>
                </c:pt>
                <c:pt idx="17">
                  <c:v>967.39</c:v>
                </c:pt>
                <c:pt idx="18">
                  <c:v>971.68</c:v>
                </c:pt>
                <c:pt idx="19">
                  <c:v>973.31</c:v>
                </c:pt>
                <c:pt idx="20">
                  <c:v>978.15</c:v>
                </c:pt>
                <c:pt idx="21">
                  <c:v>983.7</c:v>
                </c:pt>
                <c:pt idx="22">
                  <c:v>990.1</c:v>
                </c:pt>
                <c:pt idx="23">
                  <c:v>994.58</c:v>
                </c:pt>
                <c:pt idx="24">
                  <c:v>1002.69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F3-4415-A938-FD98BDE08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04064"/>
        <c:axId val="48910336"/>
      </c:scatterChart>
      <c:valAx>
        <c:axId val="48904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from source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910336"/>
        <c:crosses val="autoZero"/>
        <c:crossBetween val="midCat"/>
      </c:valAx>
      <c:valAx>
        <c:axId val="489103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Beam width [um]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9040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'1'!$E$12</c:f>
              <c:strCache>
                <c:ptCount val="1"/>
                <c:pt idx="0">
                  <c:v>V std. dev. [um]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</c:marker>
          <c:xVal>
            <c:numRef>
              <c:f>'1'!$C$13:$C$39</c:f>
              <c:numCache>
                <c:formatCode>General</c:formatCode>
                <c:ptCount val="27"/>
                <c:pt idx="0">
                  <c:v>0.92000000000000026</c:v>
                </c:pt>
                <c:pt idx="1">
                  <c:v>2.9200000000000004</c:v>
                </c:pt>
                <c:pt idx="2">
                  <c:v>4.92</c:v>
                </c:pt>
                <c:pt idx="3">
                  <c:v>6.92</c:v>
                </c:pt>
                <c:pt idx="4">
                  <c:v>8.92</c:v>
                </c:pt>
                <c:pt idx="5">
                  <c:v>10.92</c:v>
                </c:pt>
                <c:pt idx="6">
                  <c:v>12.919999999999998</c:v>
                </c:pt>
                <c:pt idx="7">
                  <c:v>14.919999999999998</c:v>
                </c:pt>
                <c:pt idx="8">
                  <c:v>16.919999999999998</c:v>
                </c:pt>
                <c:pt idx="9">
                  <c:v>18.919999999999998</c:v>
                </c:pt>
                <c:pt idx="10">
                  <c:v>20.919999999999998</c:v>
                </c:pt>
                <c:pt idx="11">
                  <c:v>22.919999999999998</c:v>
                </c:pt>
                <c:pt idx="12">
                  <c:v>24.919999999999998</c:v>
                </c:pt>
                <c:pt idx="13">
                  <c:v>26.919999999999998</c:v>
                </c:pt>
                <c:pt idx="14">
                  <c:v>28.919999999999998</c:v>
                </c:pt>
                <c:pt idx="15">
                  <c:v>30.919999999999998</c:v>
                </c:pt>
                <c:pt idx="16">
                  <c:v>32.92</c:v>
                </c:pt>
                <c:pt idx="17">
                  <c:v>34.92</c:v>
                </c:pt>
                <c:pt idx="18">
                  <c:v>36.92</c:v>
                </c:pt>
                <c:pt idx="19">
                  <c:v>38.92</c:v>
                </c:pt>
                <c:pt idx="20">
                  <c:v>40.92</c:v>
                </c:pt>
                <c:pt idx="21">
                  <c:v>42.92</c:v>
                </c:pt>
                <c:pt idx="22">
                  <c:v>44.92</c:v>
                </c:pt>
                <c:pt idx="23">
                  <c:v>46.92</c:v>
                </c:pt>
                <c:pt idx="24">
                  <c:v>48.92</c:v>
                </c:pt>
              </c:numCache>
            </c:numRef>
          </c:xVal>
          <c:yVal>
            <c:numRef>
              <c:f>'1'!$E$13:$E$39</c:f>
              <c:numCache>
                <c:formatCode>General</c:formatCode>
                <c:ptCount val="27"/>
                <c:pt idx="0">
                  <c:v>3.44</c:v>
                </c:pt>
                <c:pt idx="1">
                  <c:v>4.25</c:v>
                </c:pt>
                <c:pt idx="2">
                  <c:v>3.18</c:v>
                </c:pt>
                <c:pt idx="3">
                  <c:v>4.5199999999999996</c:v>
                </c:pt>
                <c:pt idx="4">
                  <c:v>4.0999999999999996</c:v>
                </c:pt>
                <c:pt idx="5">
                  <c:v>3.46</c:v>
                </c:pt>
                <c:pt idx="6">
                  <c:v>4</c:v>
                </c:pt>
                <c:pt idx="7">
                  <c:v>4.2300000000000004</c:v>
                </c:pt>
                <c:pt idx="8">
                  <c:v>4.03</c:v>
                </c:pt>
                <c:pt idx="9">
                  <c:v>3.39</c:v>
                </c:pt>
                <c:pt idx="10">
                  <c:v>4.54</c:v>
                </c:pt>
                <c:pt idx="11">
                  <c:v>3.34</c:v>
                </c:pt>
                <c:pt idx="12">
                  <c:v>3.65</c:v>
                </c:pt>
                <c:pt idx="13">
                  <c:v>3.4</c:v>
                </c:pt>
                <c:pt idx="14">
                  <c:v>3.91</c:v>
                </c:pt>
                <c:pt idx="15">
                  <c:v>4.03</c:v>
                </c:pt>
                <c:pt idx="16">
                  <c:v>4.5</c:v>
                </c:pt>
                <c:pt idx="17">
                  <c:v>3.13</c:v>
                </c:pt>
                <c:pt idx="18">
                  <c:v>4.66</c:v>
                </c:pt>
                <c:pt idx="19">
                  <c:v>4.28</c:v>
                </c:pt>
                <c:pt idx="20">
                  <c:v>4.08</c:v>
                </c:pt>
                <c:pt idx="21">
                  <c:v>4.1399999999999997</c:v>
                </c:pt>
                <c:pt idx="22">
                  <c:v>4.46</c:v>
                </c:pt>
                <c:pt idx="23">
                  <c:v>3.98</c:v>
                </c:pt>
                <c:pt idx="24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CA-4641-8410-91555A46E088}"/>
            </c:ext>
          </c:extLst>
        </c:ser>
        <c:ser>
          <c:idx val="3"/>
          <c:order val="1"/>
          <c:tx>
            <c:strRef>
              <c:f>'1'!$G$12</c:f>
              <c:strCache>
                <c:ptCount val="1"/>
                <c:pt idx="0">
                  <c:v>W std. dev. [um]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5"/>
          </c:marker>
          <c:xVal>
            <c:numRef>
              <c:f>'1'!$C$13:$C$39</c:f>
              <c:numCache>
                <c:formatCode>General</c:formatCode>
                <c:ptCount val="27"/>
                <c:pt idx="0">
                  <c:v>0.92000000000000026</c:v>
                </c:pt>
                <c:pt idx="1">
                  <c:v>2.9200000000000004</c:v>
                </c:pt>
                <c:pt idx="2">
                  <c:v>4.92</c:v>
                </c:pt>
                <c:pt idx="3">
                  <c:v>6.92</c:v>
                </c:pt>
                <c:pt idx="4">
                  <c:v>8.92</c:v>
                </c:pt>
                <c:pt idx="5">
                  <c:v>10.92</c:v>
                </c:pt>
                <c:pt idx="6">
                  <c:v>12.919999999999998</c:v>
                </c:pt>
                <c:pt idx="7">
                  <c:v>14.919999999999998</c:v>
                </c:pt>
                <c:pt idx="8">
                  <c:v>16.919999999999998</c:v>
                </c:pt>
                <c:pt idx="9">
                  <c:v>18.919999999999998</c:v>
                </c:pt>
                <c:pt idx="10">
                  <c:v>20.919999999999998</c:v>
                </c:pt>
                <c:pt idx="11">
                  <c:v>22.919999999999998</c:v>
                </c:pt>
                <c:pt idx="12">
                  <c:v>24.919999999999998</c:v>
                </c:pt>
                <c:pt idx="13">
                  <c:v>26.919999999999998</c:v>
                </c:pt>
                <c:pt idx="14">
                  <c:v>28.919999999999998</c:v>
                </c:pt>
                <c:pt idx="15">
                  <c:v>30.919999999999998</c:v>
                </c:pt>
                <c:pt idx="16">
                  <c:v>32.92</c:v>
                </c:pt>
                <c:pt idx="17">
                  <c:v>34.92</c:v>
                </c:pt>
                <c:pt idx="18">
                  <c:v>36.92</c:v>
                </c:pt>
                <c:pt idx="19">
                  <c:v>38.92</c:v>
                </c:pt>
                <c:pt idx="20">
                  <c:v>40.92</c:v>
                </c:pt>
                <c:pt idx="21">
                  <c:v>42.92</c:v>
                </c:pt>
                <c:pt idx="22">
                  <c:v>44.92</c:v>
                </c:pt>
                <c:pt idx="23">
                  <c:v>46.92</c:v>
                </c:pt>
                <c:pt idx="24">
                  <c:v>48.92</c:v>
                </c:pt>
              </c:numCache>
            </c:numRef>
          </c:xVal>
          <c:yVal>
            <c:numRef>
              <c:f>'1'!$G$13:$G$39</c:f>
              <c:numCache>
                <c:formatCode>General</c:formatCode>
                <c:ptCount val="27"/>
                <c:pt idx="0">
                  <c:v>3.73</c:v>
                </c:pt>
                <c:pt idx="1">
                  <c:v>3.42</c:v>
                </c:pt>
                <c:pt idx="2">
                  <c:v>3.18</c:v>
                </c:pt>
                <c:pt idx="3">
                  <c:v>4.3099999999999996</c:v>
                </c:pt>
                <c:pt idx="4">
                  <c:v>3.34</c:v>
                </c:pt>
                <c:pt idx="5">
                  <c:v>3.71</c:v>
                </c:pt>
                <c:pt idx="6">
                  <c:v>2.62</c:v>
                </c:pt>
                <c:pt idx="7">
                  <c:v>2.71</c:v>
                </c:pt>
                <c:pt idx="8">
                  <c:v>3.08</c:v>
                </c:pt>
                <c:pt idx="9">
                  <c:v>2.89</c:v>
                </c:pt>
                <c:pt idx="10">
                  <c:v>3.02</c:v>
                </c:pt>
                <c:pt idx="11">
                  <c:v>3.14</c:v>
                </c:pt>
                <c:pt idx="12">
                  <c:v>3.17</c:v>
                </c:pt>
                <c:pt idx="13">
                  <c:v>2.83</c:v>
                </c:pt>
                <c:pt idx="14">
                  <c:v>3.61</c:v>
                </c:pt>
                <c:pt idx="15">
                  <c:v>3.48</c:v>
                </c:pt>
                <c:pt idx="16">
                  <c:v>4.1100000000000003</c:v>
                </c:pt>
                <c:pt idx="17">
                  <c:v>3.28</c:v>
                </c:pt>
                <c:pt idx="18">
                  <c:v>4.16</c:v>
                </c:pt>
                <c:pt idx="19">
                  <c:v>4.17</c:v>
                </c:pt>
                <c:pt idx="20">
                  <c:v>3.57</c:v>
                </c:pt>
                <c:pt idx="21">
                  <c:v>3.8</c:v>
                </c:pt>
                <c:pt idx="22">
                  <c:v>4.0599999999999996</c:v>
                </c:pt>
                <c:pt idx="23">
                  <c:v>3.44</c:v>
                </c:pt>
                <c:pt idx="24">
                  <c:v>3.76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CA-4641-8410-91555A46E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31584"/>
        <c:axId val="48933504"/>
      </c:scatterChart>
      <c:valAx>
        <c:axId val="4893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from source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933504"/>
        <c:crosses val="autoZero"/>
        <c:crossBetween val="midCat"/>
      </c:valAx>
      <c:valAx>
        <c:axId val="48933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Beam width st.d dev. [um]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9315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'1-Corrected'!$D$12</c:f>
              <c:strCache>
                <c:ptCount val="1"/>
                <c:pt idx="0">
                  <c:v>V width e^-2 [um]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'1-Corrected'!$C$13:$C$39</c:f>
              <c:numCache>
                <c:formatCode>General</c:formatCode>
                <c:ptCount val="27"/>
                <c:pt idx="0">
                  <c:v>5.9</c:v>
                </c:pt>
                <c:pt idx="1">
                  <c:v>7.9</c:v>
                </c:pt>
                <c:pt idx="2">
                  <c:v>9.9</c:v>
                </c:pt>
                <c:pt idx="3">
                  <c:v>11.9</c:v>
                </c:pt>
                <c:pt idx="4">
                  <c:v>13.9</c:v>
                </c:pt>
                <c:pt idx="5">
                  <c:v>15.9</c:v>
                </c:pt>
                <c:pt idx="6">
                  <c:v>17.899999999999999</c:v>
                </c:pt>
                <c:pt idx="7">
                  <c:v>19.899999999999999</c:v>
                </c:pt>
                <c:pt idx="8">
                  <c:v>21.9</c:v>
                </c:pt>
                <c:pt idx="9">
                  <c:v>23.9</c:v>
                </c:pt>
                <c:pt idx="10">
                  <c:v>25.9</c:v>
                </c:pt>
                <c:pt idx="11">
                  <c:v>27.9</c:v>
                </c:pt>
                <c:pt idx="12">
                  <c:v>29.9</c:v>
                </c:pt>
                <c:pt idx="13">
                  <c:v>31.9</c:v>
                </c:pt>
                <c:pt idx="14">
                  <c:v>33.9</c:v>
                </c:pt>
                <c:pt idx="15">
                  <c:v>35.9</c:v>
                </c:pt>
                <c:pt idx="16">
                  <c:v>37.9</c:v>
                </c:pt>
                <c:pt idx="17">
                  <c:v>39.9</c:v>
                </c:pt>
                <c:pt idx="18">
                  <c:v>41.9</c:v>
                </c:pt>
                <c:pt idx="19">
                  <c:v>43.9</c:v>
                </c:pt>
                <c:pt idx="20">
                  <c:v>45.9</c:v>
                </c:pt>
                <c:pt idx="21">
                  <c:v>47.9</c:v>
                </c:pt>
                <c:pt idx="22">
                  <c:v>49.9</c:v>
                </c:pt>
                <c:pt idx="23">
                  <c:v>51.9</c:v>
                </c:pt>
                <c:pt idx="24">
                  <c:v>53.9</c:v>
                </c:pt>
              </c:numCache>
            </c:numRef>
          </c:xVal>
          <c:yVal>
            <c:numRef>
              <c:f>'1-Corrected'!$D$13:$D$39</c:f>
              <c:numCache>
                <c:formatCode>General</c:formatCode>
                <c:ptCount val="27"/>
                <c:pt idx="0">
                  <c:v>1155.81</c:v>
                </c:pt>
                <c:pt idx="1">
                  <c:v>1154.53</c:v>
                </c:pt>
                <c:pt idx="2">
                  <c:v>1152.21</c:v>
                </c:pt>
                <c:pt idx="3">
                  <c:v>1152.28</c:v>
                </c:pt>
                <c:pt idx="4">
                  <c:v>1151.8900000000001</c:v>
                </c:pt>
                <c:pt idx="5">
                  <c:v>1151.8399999999999</c:v>
                </c:pt>
                <c:pt idx="6">
                  <c:v>1150.9100000000001</c:v>
                </c:pt>
                <c:pt idx="7">
                  <c:v>1152.3699999999999</c:v>
                </c:pt>
                <c:pt idx="8">
                  <c:v>1151.5999999999999</c:v>
                </c:pt>
                <c:pt idx="9">
                  <c:v>1151.1600000000001</c:v>
                </c:pt>
                <c:pt idx="10">
                  <c:v>1151.7</c:v>
                </c:pt>
                <c:pt idx="11">
                  <c:v>1151.78</c:v>
                </c:pt>
                <c:pt idx="12">
                  <c:v>1150.08</c:v>
                </c:pt>
                <c:pt idx="13">
                  <c:v>1152.03</c:v>
                </c:pt>
                <c:pt idx="14">
                  <c:v>1154.51</c:v>
                </c:pt>
                <c:pt idx="15">
                  <c:v>1157.6500000000001</c:v>
                </c:pt>
                <c:pt idx="16">
                  <c:v>1161.1400000000001</c:v>
                </c:pt>
                <c:pt idx="17">
                  <c:v>1163.8</c:v>
                </c:pt>
                <c:pt idx="18">
                  <c:v>1168.29</c:v>
                </c:pt>
                <c:pt idx="19">
                  <c:v>1172.01</c:v>
                </c:pt>
                <c:pt idx="20">
                  <c:v>1173.96</c:v>
                </c:pt>
                <c:pt idx="21">
                  <c:v>1175.56</c:v>
                </c:pt>
                <c:pt idx="22">
                  <c:v>1181.29</c:v>
                </c:pt>
                <c:pt idx="23">
                  <c:v>1187.1500000000001</c:v>
                </c:pt>
                <c:pt idx="24">
                  <c:v>1193.53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A5-471E-9004-6462A2AE26E3}"/>
            </c:ext>
          </c:extLst>
        </c:ser>
        <c:ser>
          <c:idx val="1"/>
          <c:order val="1"/>
          <c:tx>
            <c:strRef>
              <c:f>'1-Corrected'!$F$12</c:f>
              <c:strCache>
                <c:ptCount val="1"/>
                <c:pt idx="0">
                  <c:v>W width e^-2 [um]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'1-Corrected'!$C$13:$C$39</c:f>
              <c:numCache>
                <c:formatCode>General</c:formatCode>
                <c:ptCount val="27"/>
                <c:pt idx="0">
                  <c:v>5.9</c:v>
                </c:pt>
                <c:pt idx="1">
                  <c:v>7.9</c:v>
                </c:pt>
                <c:pt idx="2">
                  <c:v>9.9</c:v>
                </c:pt>
                <c:pt idx="3">
                  <c:v>11.9</c:v>
                </c:pt>
                <c:pt idx="4">
                  <c:v>13.9</c:v>
                </c:pt>
                <c:pt idx="5">
                  <c:v>15.9</c:v>
                </c:pt>
                <c:pt idx="6">
                  <c:v>17.899999999999999</c:v>
                </c:pt>
                <c:pt idx="7">
                  <c:v>19.899999999999999</c:v>
                </c:pt>
                <c:pt idx="8">
                  <c:v>21.9</c:v>
                </c:pt>
                <c:pt idx="9">
                  <c:v>23.9</c:v>
                </c:pt>
                <c:pt idx="10">
                  <c:v>25.9</c:v>
                </c:pt>
                <c:pt idx="11">
                  <c:v>27.9</c:v>
                </c:pt>
                <c:pt idx="12">
                  <c:v>29.9</c:v>
                </c:pt>
                <c:pt idx="13">
                  <c:v>31.9</c:v>
                </c:pt>
                <c:pt idx="14">
                  <c:v>33.9</c:v>
                </c:pt>
                <c:pt idx="15">
                  <c:v>35.9</c:v>
                </c:pt>
                <c:pt idx="16">
                  <c:v>37.9</c:v>
                </c:pt>
                <c:pt idx="17">
                  <c:v>39.9</c:v>
                </c:pt>
                <c:pt idx="18">
                  <c:v>41.9</c:v>
                </c:pt>
                <c:pt idx="19">
                  <c:v>43.9</c:v>
                </c:pt>
                <c:pt idx="20">
                  <c:v>45.9</c:v>
                </c:pt>
                <c:pt idx="21">
                  <c:v>47.9</c:v>
                </c:pt>
                <c:pt idx="22">
                  <c:v>49.9</c:v>
                </c:pt>
                <c:pt idx="23">
                  <c:v>51.9</c:v>
                </c:pt>
                <c:pt idx="24">
                  <c:v>53.9</c:v>
                </c:pt>
              </c:numCache>
            </c:numRef>
          </c:xVal>
          <c:yVal>
            <c:numRef>
              <c:f>'1-Corrected'!$F$13:$F$39</c:f>
              <c:numCache>
                <c:formatCode>General</c:formatCode>
                <c:ptCount val="27"/>
                <c:pt idx="0">
                  <c:v>982.69</c:v>
                </c:pt>
                <c:pt idx="1">
                  <c:v>977.81</c:v>
                </c:pt>
                <c:pt idx="2">
                  <c:v>973.76</c:v>
                </c:pt>
                <c:pt idx="3">
                  <c:v>968.66</c:v>
                </c:pt>
                <c:pt idx="4">
                  <c:v>966.8</c:v>
                </c:pt>
                <c:pt idx="5">
                  <c:v>963.76</c:v>
                </c:pt>
                <c:pt idx="6">
                  <c:v>959.55</c:v>
                </c:pt>
                <c:pt idx="7">
                  <c:v>957.85</c:v>
                </c:pt>
                <c:pt idx="8">
                  <c:v>956.27</c:v>
                </c:pt>
                <c:pt idx="9">
                  <c:v>957.13</c:v>
                </c:pt>
                <c:pt idx="10">
                  <c:v>954.8</c:v>
                </c:pt>
                <c:pt idx="11">
                  <c:v>953.84</c:v>
                </c:pt>
                <c:pt idx="12">
                  <c:v>956.35</c:v>
                </c:pt>
                <c:pt idx="13">
                  <c:v>955.14</c:v>
                </c:pt>
                <c:pt idx="14">
                  <c:v>957.01</c:v>
                </c:pt>
                <c:pt idx="15">
                  <c:v>958.86</c:v>
                </c:pt>
                <c:pt idx="16">
                  <c:v>963.29</c:v>
                </c:pt>
                <c:pt idx="17">
                  <c:v>967.39</c:v>
                </c:pt>
                <c:pt idx="18">
                  <c:v>971.68</c:v>
                </c:pt>
                <c:pt idx="19">
                  <c:v>973.31</c:v>
                </c:pt>
                <c:pt idx="20">
                  <c:v>978.15</c:v>
                </c:pt>
                <c:pt idx="21">
                  <c:v>983.7</c:v>
                </c:pt>
                <c:pt idx="22">
                  <c:v>990.1</c:v>
                </c:pt>
                <c:pt idx="23">
                  <c:v>994.58</c:v>
                </c:pt>
                <c:pt idx="24">
                  <c:v>1002.69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A5-471E-9004-6462A2AE2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96192"/>
        <c:axId val="47098112"/>
      </c:scatterChart>
      <c:valAx>
        <c:axId val="4709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from source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098112"/>
        <c:crosses val="autoZero"/>
        <c:crossBetween val="midCat"/>
      </c:valAx>
      <c:valAx>
        <c:axId val="470981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Beam width [um]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096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'1-Corrected'!$E$12</c:f>
              <c:strCache>
                <c:ptCount val="1"/>
                <c:pt idx="0">
                  <c:v>V std. dev. [um]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</c:marker>
          <c:xVal>
            <c:numRef>
              <c:f>'1-Corrected'!$C$13:$C$39</c:f>
              <c:numCache>
                <c:formatCode>General</c:formatCode>
                <c:ptCount val="27"/>
                <c:pt idx="0">
                  <c:v>5.9</c:v>
                </c:pt>
                <c:pt idx="1">
                  <c:v>7.9</c:v>
                </c:pt>
                <c:pt idx="2">
                  <c:v>9.9</c:v>
                </c:pt>
                <c:pt idx="3">
                  <c:v>11.9</c:v>
                </c:pt>
                <c:pt idx="4">
                  <c:v>13.9</c:v>
                </c:pt>
                <c:pt idx="5">
                  <c:v>15.9</c:v>
                </c:pt>
                <c:pt idx="6">
                  <c:v>17.899999999999999</c:v>
                </c:pt>
                <c:pt idx="7">
                  <c:v>19.899999999999999</c:v>
                </c:pt>
                <c:pt idx="8">
                  <c:v>21.9</c:v>
                </c:pt>
                <c:pt idx="9">
                  <c:v>23.9</c:v>
                </c:pt>
                <c:pt idx="10">
                  <c:v>25.9</c:v>
                </c:pt>
                <c:pt idx="11">
                  <c:v>27.9</c:v>
                </c:pt>
                <c:pt idx="12">
                  <c:v>29.9</c:v>
                </c:pt>
                <c:pt idx="13">
                  <c:v>31.9</c:v>
                </c:pt>
                <c:pt idx="14">
                  <c:v>33.9</c:v>
                </c:pt>
                <c:pt idx="15">
                  <c:v>35.9</c:v>
                </c:pt>
                <c:pt idx="16">
                  <c:v>37.9</c:v>
                </c:pt>
                <c:pt idx="17">
                  <c:v>39.9</c:v>
                </c:pt>
                <c:pt idx="18">
                  <c:v>41.9</c:v>
                </c:pt>
                <c:pt idx="19">
                  <c:v>43.9</c:v>
                </c:pt>
                <c:pt idx="20">
                  <c:v>45.9</c:v>
                </c:pt>
                <c:pt idx="21">
                  <c:v>47.9</c:v>
                </c:pt>
                <c:pt idx="22">
                  <c:v>49.9</c:v>
                </c:pt>
                <c:pt idx="23">
                  <c:v>51.9</c:v>
                </c:pt>
                <c:pt idx="24">
                  <c:v>53.9</c:v>
                </c:pt>
              </c:numCache>
            </c:numRef>
          </c:xVal>
          <c:yVal>
            <c:numRef>
              <c:f>'1-Corrected'!$E$13:$E$39</c:f>
              <c:numCache>
                <c:formatCode>General</c:formatCode>
                <c:ptCount val="27"/>
                <c:pt idx="0">
                  <c:v>3.44</c:v>
                </c:pt>
                <c:pt idx="1">
                  <c:v>4.25</c:v>
                </c:pt>
                <c:pt idx="2">
                  <c:v>3.18</c:v>
                </c:pt>
                <c:pt idx="3">
                  <c:v>4.5199999999999996</c:v>
                </c:pt>
                <c:pt idx="4">
                  <c:v>4.0999999999999996</c:v>
                </c:pt>
                <c:pt idx="5">
                  <c:v>3.46</c:v>
                </c:pt>
                <c:pt idx="6">
                  <c:v>4</c:v>
                </c:pt>
                <c:pt idx="7">
                  <c:v>4.2300000000000004</c:v>
                </c:pt>
                <c:pt idx="8">
                  <c:v>4.03</c:v>
                </c:pt>
                <c:pt idx="9">
                  <c:v>3.39</c:v>
                </c:pt>
                <c:pt idx="10">
                  <c:v>4.54</c:v>
                </c:pt>
                <c:pt idx="11">
                  <c:v>3.34</c:v>
                </c:pt>
                <c:pt idx="12">
                  <c:v>3.65</c:v>
                </c:pt>
                <c:pt idx="13">
                  <c:v>3.4</c:v>
                </c:pt>
                <c:pt idx="14">
                  <c:v>3.91</c:v>
                </c:pt>
                <c:pt idx="15">
                  <c:v>4.03</c:v>
                </c:pt>
                <c:pt idx="16">
                  <c:v>4.5</c:v>
                </c:pt>
                <c:pt idx="17">
                  <c:v>3.13</c:v>
                </c:pt>
                <c:pt idx="18">
                  <c:v>4.66</c:v>
                </c:pt>
                <c:pt idx="19">
                  <c:v>4.28</c:v>
                </c:pt>
                <c:pt idx="20">
                  <c:v>4.08</c:v>
                </c:pt>
                <c:pt idx="21">
                  <c:v>4.1399999999999997</c:v>
                </c:pt>
                <c:pt idx="22">
                  <c:v>4.46</c:v>
                </c:pt>
                <c:pt idx="23">
                  <c:v>3.98</c:v>
                </c:pt>
                <c:pt idx="24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95-423C-91C1-4C4EEDC1D87C}"/>
            </c:ext>
          </c:extLst>
        </c:ser>
        <c:ser>
          <c:idx val="3"/>
          <c:order val="1"/>
          <c:tx>
            <c:strRef>
              <c:f>'1-Corrected'!$G$12</c:f>
              <c:strCache>
                <c:ptCount val="1"/>
                <c:pt idx="0">
                  <c:v>W std. dev. [um]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5"/>
          </c:marker>
          <c:xVal>
            <c:numRef>
              <c:f>'1-Corrected'!$C$13:$C$39</c:f>
              <c:numCache>
                <c:formatCode>General</c:formatCode>
                <c:ptCount val="27"/>
                <c:pt idx="0">
                  <c:v>5.9</c:v>
                </c:pt>
                <c:pt idx="1">
                  <c:v>7.9</c:v>
                </c:pt>
                <c:pt idx="2">
                  <c:v>9.9</c:v>
                </c:pt>
                <c:pt idx="3">
                  <c:v>11.9</c:v>
                </c:pt>
                <c:pt idx="4">
                  <c:v>13.9</c:v>
                </c:pt>
                <c:pt idx="5">
                  <c:v>15.9</c:v>
                </c:pt>
                <c:pt idx="6">
                  <c:v>17.899999999999999</c:v>
                </c:pt>
                <c:pt idx="7">
                  <c:v>19.899999999999999</c:v>
                </c:pt>
                <c:pt idx="8">
                  <c:v>21.9</c:v>
                </c:pt>
                <c:pt idx="9">
                  <c:v>23.9</c:v>
                </c:pt>
                <c:pt idx="10">
                  <c:v>25.9</c:v>
                </c:pt>
                <c:pt idx="11">
                  <c:v>27.9</c:v>
                </c:pt>
                <c:pt idx="12">
                  <c:v>29.9</c:v>
                </c:pt>
                <c:pt idx="13">
                  <c:v>31.9</c:v>
                </c:pt>
                <c:pt idx="14">
                  <c:v>33.9</c:v>
                </c:pt>
                <c:pt idx="15">
                  <c:v>35.9</c:v>
                </c:pt>
                <c:pt idx="16">
                  <c:v>37.9</c:v>
                </c:pt>
                <c:pt idx="17">
                  <c:v>39.9</c:v>
                </c:pt>
                <c:pt idx="18">
                  <c:v>41.9</c:v>
                </c:pt>
                <c:pt idx="19">
                  <c:v>43.9</c:v>
                </c:pt>
                <c:pt idx="20">
                  <c:v>45.9</c:v>
                </c:pt>
                <c:pt idx="21">
                  <c:v>47.9</c:v>
                </c:pt>
                <c:pt idx="22">
                  <c:v>49.9</c:v>
                </c:pt>
                <c:pt idx="23">
                  <c:v>51.9</c:v>
                </c:pt>
                <c:pt idx="24">
                  <c:v>53.9</c:v>
                </c:pt>
              </c:numCache>
            </c:numRef>
          </c:xVal>
          <c:yVal>
            <c:numRef>
              <c:f>'1-Corrected'!$G$13:$G$39</c:f>
              <c:numCache>
                <c:formatCode>General</c:formatCode>
                <c:ptCount val="27"/>
                <c:pt idx="0">
                  <c:v>3.73</c:v>
                </c:pt>
                <c:pt idx="1">
                  <c:v>3.42</c:v>
                </c:pt>
                <c:pt idx="2">
                  <c:v>3.18</c:v>
                </c:pt>
                <c:pt idx="3">
                  <c:v>4.3099999999999996</c:v>
                </c:pt>
                <c:pt idx="4">
                  <c:v>3.34</c:v>
                </c:pt>
                <c:pt idx="5">
                  <c:v>3.71</c:v>
                </c:pt>
                <c:pt idx="6">
                  <c:v>2.62</c:v>
                </c:pt>
                <c:pt idx="7">
                  <c:v>2.71</c:v>
                </c:pt>
                <c:pt idx="8">
                  <c:v>3.08</c:v>
                </c:pt>
                <c:pt idx="9">
                  <c:v>2.89</c:v>
                </c:pt>
                <c:pt idx="10">
                  <c:v>3.02</c:v>
                </c:pt>
                <c:pt idx="11">
                  <c:v>3.14</c:v>
                </c:pt>
                <c:pt idx="12">
                  <c:v>3.17</c:v>
                </c:pt>
                <c:pt idx="13">
                  <c:v>2.83</c:v>
                </c:pt>
                <c:pt idx="14">
                  <c:v>3.61</c:v>
                </c:pt>
                <c:pt idx="15">
                  <c:v>3.48</c:v>
                </c:pt>
                <c:pt idx="16">
                  <c:v>4.1100000000000003</c:v>
                </c:pt>
                <c:pt idx="17">
                  <c:v>3.28</c:v>
                </c:pt>
                <c:pt idx="18">
                  <c:v>4.16</c:v>
                </c:pt>
                <c:pt idx="19">
                  <c:v>4.17</c:v>
                </c:pt>
                <c:pt idx="20">
                  <c:v>3.57</c:v>
                </c:pt>
                <c:pt idx="21">
                  <c:v>3.8</c:v>
                </c:pt>
                <c:pt idx="22">
                  <c:v>4.0599999999999996</c:v>
                </c:pt>
                <c:pt idx="23">
                  <c:v>3.44</c:v>
                </c:pt>
                <c:pt idx="24">
                  <c:v>3.76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95-423C-91C1-4C4EEDC1D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50784"/>
        <c:axId val="53752960"/>
      </c:scatterChart>
      <c:valAx>
        <c:axId val="53750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from source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752960"/>
        <c:crosses val="autoZero"/>
        <c:crossBetween val="midCat"/>
      </c:valAx>
      <c:valAx>
        <c:axId val="537529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Beam width st.d dev. [um]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7507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'2'!$D$12</c:f>
              <c:strCache>
                <c:ptCount val="1"/>
                <c:pt idx="0">
                  <c:v>V width e^-2 [um]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'2'!$C$13:$C$42</c:f>
              <c:numCache>
                <c:formatCode>General</c:formatCode>
                <c:ptCount val="30"/>
                <c:pt idx="0">
                  <c:v>38.5</c:v>
                </c:pt>
                <c:pt idx="1">
                  <c:v>39</c:v>
                </c:pt>
                <c:pt idx="2">
                  <c:v>39.5</c:v>
                </c:pt>
                <c:pt idx="3">
                  <c:v>39.6</c:v>
                </c:pt>
                <c:pt idx="4">
                  <c:v>39.700000000000003</c:v>
                </c:pt>
                <c:pt idx="5">
                  <c:v>39.799999999999997</c:v>
                </c:pt>
                <c:pt idx="6">
                  <c:v>39.9</c:v>
                </c:pt>
                <c:pt idx="7">
                  <c:v>40</c:v>
                </c:pt>
                <c:pt idx="8">
                  <c:v>40.1</c:v>
                </c:pt>
                <c:pt idx="9">
                  <c:v>40.200000000000003</c:v>
                </c:pt>
                <c:pt idx="10">
                  <c:v>40.299999999999997</c:v>
                </c:pt>
                <c:pt idx="11">
                  <c:v>40.4</c:v>
                </c:pt>
                <c:pt idx="12">
                  <c:v>40.5</c:v>
                </c:pt>
                <c:pt idx="13">
                  <c:v>40.6</c:v>
                </c:pt>
                <c:pt idx="14">
                  <c:v>40.700000000000003</c:v>
                </c:pt>
                <c:pt idx="15">
                  <c:v>40.799999999999997</c:v>
                </c:pt>
                <c:pt idx="16">
                  <c:v>40.9</c:v>
                </c:pt>
                <c:pt idx="17">
                  <c:v>41</c:v>
                </c:pt>
                <c:pt idx="18">
                  <c:v>41.1</c:v>
                </c:pt>
                <c:pt idx="19">
                  <c:v>41.2</c:v>
                </c:pt>
                <c:pt idx="20">
                  <c:v>41.3</c:v>
                </c:pt>
                <c:pt idx="21">
                  <c:v>41.4</c:v>
                </c:pt>
                <c:pt idx="22">
                  <c:v>41.5</c:v>
                </c:pt>
                <c:pt idx="23">
                  <c:v>41.6</c:v>
                </c:pt>
                <c:pt idx="24">
                  <c:v>41.7</c:v>
                </c:pt>
                <c:pt idx="25">
                  <c:v>41.8</c:v>
                </c:pt>
                <c:pt idx="26">
                  <c:v>41.9</c:v>
                </c:pt>
                <c:pt idx="27">
                  <c:v>42</c:v>
                </c:pt>
                <c:pt idx="28">
                  <c:v>42.5</c:v>
                </c:pt>
                <c:pt idx="29">
                  <c:v>43</c:v>
                </c:pt>
              </c:numCache>
            </c:numRef>
          </c:xVal>
          <c:yVal>
            <c:numRef>
              <c:f>'2'!$D$13:$D$42</c:f>
              <c:numCache>
                <c:formatCode>General</c:formatCode>
                <c:ptCount val="30"/>
                <c:pt idx="0">
                  <c:v>672.42</c:v>
                </c:pt>
                <c:pt idx="1">
                  <c:v>533.1</c:v>
                </c:pt>
                <c:pt idx="2">
                  <c:v>387.34</c:v>
                </c:pt>
                <c:pt idx="3">
                  <c:v>352.57</c:v>
                </c:pt>
                <c:pt idx="4">
                  <c:v>323.58</c:v>
                </c:pt>
                <c:pt idx="5">
                  <c:v>288.42</c:v>
                </c:pt>
                <c:pt idx="6">
                  <c:v>259.14999999999998</c:v>
                </c:pt>
                <c:pt idx="7">
                  <c:v>230.46</c:v>
                </c:pt>
                <c:pt idx="8">
                  <c:v>200.24</c:v>
                </c:pt>
                <c:pt idx="9">
                  <c:v>171.85</c:v>
                </c:pt>
                <c:pt idx="10">
                  <c:v>145.31</c:v>
                </c:pt>
                <c:pt idx="11">
                  <c:v>121.16</c:v>
                </c:pt>
                <c:pt idx="12">
                  <c:v>96.55</c:v>
                </c:pt>
                <c:pt idx="13">
                  <c:v>74.42</c:v>
                </c:pt>
                <c:pt idx="14">
                  <c:v>57.43</c:v>
                </c:pt>
                <c:pt idx="15">
                  <c:v>60.03</c:v>
                </c:pt>
                <c:pt idx="16">
                  <c:v>69.8</c:v>
                </c:pt>
                <c:pt idx="17">
                  <c:v>85.92</c:v>
                </c:pt>
                <c:pt idx="18">
                  <c:v>100.65</c:v>
                </c:pt>
                <c:pt idx="19">
                  <c:v>124.42</c:v>
                </c:pt>
                <c:pt idx="20">
                  <c:v>150.78</c:v>
                </c:pt>
                <c:pt idx="21">
                  <c:v>178.07</c:v>
                </c:pt>
                <c:pt idx="22">
                  <c:v>201.45</c:v>
                </c:pt>
                <c:pt idx="23">
                  <c:v>231.46</c:v>
                </c:pt>
                <c:pt idx="24">
                  <c:v>259.89999999999998</c:v>
                </c:pt>
                <c:pt idx="25">
                  <c:v>285.76</c:v>
                </c:pt>
                <c:pt idx="26">
                  <c:v>315.83</c:v>
                </c:pt>
                <c:pt idx="27">
                  <c:v>345.87</c:v>
                </c:pt>
                <c:pt idx="28">
                  <c:v>484.83</c:v>
                </c:pt>
                <c:pt idx="29">
                  <c:v>636.63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F6-403F-AECC-8844FE78631B}"/>
            </c:ext>
          </c:extLst>
        </c:ser>
        <c:ser>
          <c:idx val="1"/>
          <c:order val="1"/>
          <c:tx>
            <c:strRef>
              <c:f>'2'!$F$12</c:f>
              <c:strCache>
                <c:ptCount val="1"/>
                <c:pt idx="0">
                  <c:v>W width e^-2 [um]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'2'!$C$13:$C$42</c:f>
              <c:numCache>
                <c:formatCode>General</c:formatCode>
                <c:ptCount val="30"/>
                <c:pt idx="0">
                  <c:v>38.5</c:v>
                </c:pt>
                <c:pt idx="1">
                  <c:v>39</c:v>
                </c:pt>
                <c:pt idx="2">
                  <c:v>39.5</c:v>
                </c:pt>
                <c:pt idx="3">
                  <c:v>39.6</c:v>
                </c:pt>
                <c:pt idx="4">
                  <c:v>39.700000000000003</c:v>
                </c:pt>
                <c:pt idx="5">
                  <c:v>39.799999999999997</c:v>
                </c:pt>
                <c:pt idx="6">
                  <c:v>39.9</c:v>
                </c:pt>
                <c:pt idx="7">
                  <c:v>40</c:v>
                </c:pt>
                <c:pt idx="8">
                  <c:v>40.1</c:v>
                </c:pt>
                <c:pt idx="9">
                  <c:v>40.200000000000003</c:v>
                </c:pt>
                <c:pt idx="10">
                  <c:v>40.299999999999997</c:v>
                </c:pt>
                <c:pt idx="11">
                  <c:v>40.4</c:v>
                </c:pt>
                <c:pt idx="12">
                  <c:v>40.5</c:v>
                </c:pt>
                <c:pt idx="13">
                  <c:v>40.6</c:v>
                </c:pt>
                <c:pt idx="14">
                  <c:v>40.700000000000003</c:v>
                </c:pt>
                <c:pt idx="15">
                  <c:v>40.799999999999997</c:v>
                </c:pt>
                <c:pt idx="16">
                  <c:v>40.9</c:v>
                </c:pt>
                <c:pt idx="17">
                  <c:v>41</c:v>
                </c:pt>
                <c:pt idx="18">
                  <c:v>41.1</c:v>
                </c:pt>
                <c:pt idx="19">
                  <c:v>41.2</c:v>
                </c:pt>
                <c:pt idx="20">
                  <c:v>41.3</c:v>
                </c:pt>
                <c:pt idx="21">
                  <c:v>41.4</c:v>
                </c:pt>
                <c:pt idx="22">
                  <c:v>41.5</c:v>
                </c:pt>
                <c:pt idx="23">
                  <c:v>41.6</c:v>
                </c:pt>
                <c:pt idx="24">
                  <c:v>41.7</c:v>
                </c:pt>
                <c:pt idx="25">
                  <c:v>41.8</c:v>
                </c:pt>
                <c:pt idx="26">
                  <c:v>41.9</c:v>
                </c:pt>
                <c:pt idx="27">
                  <c:v>42</c:v>
                </c:pt>
                <c:pt idx="28">
                  <c:v>42.5</c:v>
                </c:pt>
                <c:pt idx="29">
                  <c:v>43</c:v>
                </c:pt>
              </c:numCache>
            </c:numRef>
          </c:xVal>
          <c:yVal>
            <c:numRef>
              <c:f>'2'!$F$13:$F$42</c:f>
              <c:numCache>
                <c:formatCode>General</c:formatCode>
                <c:ptCount val="30"/>
                <c:pt idx="0">
                  <c:v>527.6</c:v>
                </c:pt>
                <c:pt idx="1">
                  <c:v>529.35</c:v>
                </c:pt>
                <c:pt idx="2">
                  <c:v>529.87</c:v>
                </c:pt>
                <c:pt idx="3">
                  <c:v>530.70000000000005</c:v>
                </c:pt>
                <c:pt idx="4">
                  <c:v>530.24</c:v>
                </c:pt>
                <c:pt idx="5">
                  <c:v>532.88</c:v>
                </c:pt>
                <c:pt idx="6">
                  <c:v>531.48</c:v>
                </c:pt>
                <c:pt idx="7">
                  <c:v>530.82000000000005</c:v>
                </c:pt>
                <c:pt idx="8">
                  <c:v>531.41999999999996</c:v>
                </c:pt>
                <c:pt idx="9">
                  <c:v>529.97</c:v>
                </c:pt>
                <c:pt idx="10">
                  <c:v>532.57000000000005</c:v>
                </c:pt>
                <c:pt idx="11">
                  <c:v>534.70000000000005</c:v>
                </c:pt>
                <c:pt idx="12">
                  <c:v>532.98</c:v>
                </c:pt>
                <c:pt idx="13">
                  <c:v>535.15</c:v>
                </c:pt>
                <c:pt idx="14">
                  <c:v>533.91</c:v>
                </c:pt>
                <c:pt idx="15">
                  <c:v>534.33000000000004</c:v>
                </c:pt>
                <c:pt idx="16">
                  <c:v>534.62</c:v>
                </c:pt>
                <c:pt idx="17">
                  <c:v>539.27</c:v>
                </c:pt>
                <c:pt idx="18">
                  <c:v>537.46</c:v>
                </c:pt>
                <c:pt idx="19">
                  <c:v>536.24</c:v>
                </c:pt>
                <c:pt idx="20">
                  <c:v>536.95000000000005</c:v>
                </c:pt>
                <c:pt idx="21">
                  <c:v>537.05999999999995</c:v>
                </c:pt>
                <c:pt idx="22">
                  <c:v>538.02</c:v>
                </c:pt>
                <c:pt idx="23">
                  <c:v>539.98</c:v>
                </c:pt>
                <c:pt idx="24">
                  <c:v>537.62</c:v>
                </c:pt>
                <c:pt idx="25">
                  <c:v>539.28</c:v>
                </c:pt>
                <c:pt idx="26">
                  <c:v>540.14</c:v>
                </c:pt>
                <c:pt idx="27">
                  <c:v>541.27</c:v>
                </c:pt>
                <c:pt idx="28">
                  <c:v>546.13</c:v>
                </c:pt>
                <c:pt idx="29">
                  <c:v>545.69000000000005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F6-403F-AECC-8844FE786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86176"/>
        <c:axId val="49588096"/>
      </c:scatterChart>
      <c:valAx>
        <c:axId val="49586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from source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588096"/>
        <c:crosses val="autoZero"/>
        <c:crossBetween val="midCat"/>
      </c:valAx>
      <c:valAx>
        <c:axId val="495880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Beam width [um]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586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'2'!$E$12</c:f>
              <c:strCache>
                <c:ptCount val="1"/>
                <c:pt idx="0">
                  <c:v>V std. dev. [um]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</c:marker>
          <c:xVal>
            <c:numRef>
              <c:f>'2'!$C$13:$C$39</c:f>
              <c:numCache>
                <c:formatCode>General</c:formatCode>
                <c:ptCount val="27"/>
                <c:pt idx="0">
                  <c:v>38.5</c:v>
                </c:pt>
                <c:pt idx="1">
                  <c:v>39</c:v>
                </c:pt>
                <c:pt idx="2">
                  <c:v>39.5</c:v>
                </c:pt>
                <c:pt idx="3">
                  <c:v>39.6</c:v>
                </c:pt>
                <c:pt idx="4">
                  <c:v>39.700000000000003</c:v>
                </c:pt>
                <c:pt idx="5">
                  <c:v>39.799999999999997</c:v>
                </c:pt>
                <c:pt idx="6">
                  <c:v>39.9</c:v>
                </c:pt>
                <c:pt idx="7">
                  <c:v>40</c:v>
                </c:pt>
                <c:pt idx="8">
                  <c:v>40.1</c:v>
                </c:pt>
                <c:pt idx="9">
                  <c:v>40.200000000000003</c:v>
                </c:pt>
                <c:pt idx="10">
                  <c:v>40.299999999999997</c:v>
                </c:pt>
                <c:pt idx="11">
                  <c:v>40.4</c:v>
                </c:pt>
                <c:pt idx="12">
                  <c:v>40.5</c:v>
                </c:pt>
                <c:pt idx="13">
                  <c:v>40.6</c:v>
                </c:pt>
                <c:pt idx="14">
                  <c:v>40.700000000000003</c:v>
                </c:pt>
                <c:pt idx="15">
                  <c:v>40.799999999999997</c:v>
                </c:pt>
                <c:pt idx="16">
                  <c:v>40.9</c:v>
                </c:pt>
                <c:pt idx="17">
                  <c:v>41</c:v>
                </c:pt>
                <c:pt idx="18">
                  <c:v>41.1</c:v>
                </c:pt>
                <c:pt idx="19">
                  <c:v>41.2</c:v>
                </c:pt>
                <c:pt idx="20">
                  <c:v>41.3</c:v>
                </c:pt>
                <c:pt idx="21">
                  <c:v>41.4</c:v>
                </c:pt>
                <c:pt idx="22">
                  <c:v>41.5</c:v>
                </c:pt>
                <c:pt idx="23">
                  <c:v>41.6</c:v>
                </c:pt>
                <c:pt idx="24">
                  <c:v>41.7</c:v>
                </c:pt>
                <c:pt idx="25">
                  <c:v>41.8</c:v>
                </c:pt>
                <c:pt idx="26">
                  <c:v>41.9</c:v>
                </c:pt>
              </c:numCache>
            </c:numRef>
          </c:xVal>
          <c:yVal>
            <c:numRef>
              <c:f>'2'!$E$13:$E$39</c:f>
              <c:numCache>
                <c:formatCode>General</c:formatCode>
                <c:ptCount val="27"/>
                <c:pt idx="0">
                  <c:v>4.63</c:v>
                </c:pt>
                <c:pt idx="1">
                  <c:v>2.86</c:v>
                </c:pt>
                <c:pt idx="2">
                  <c:v>2.58</c:v>
                </c:pt>
                <c:pt idx="3">
                  <c:v>2.0499999999999998</c:v>
                </c:pt>
                <c:pt idx="4">
                  <c:v>2</c:v>
                </c:pt>
                <c:pt idx="5">
                  <c:v>1.53</c:v>
                </c:pt>
                <c:pt idx="6">
                  <c:v>1.24</c:v>
                </c:pt>
                <c:pt idx="7">
                  <c:v>1.03</c:v>
                </c:pt>
                <c:pt idx="8">
                  <c:v>0.72</c:v>
                </c:pt>
                <c:pt idx="9">
                  <c:v>0.78</c:v>
                </c:pt>
                <c:pt idx="10">
                  <c:v>0.6</c:v>
                </c:pt>
                <c:pt idx="11">
                  <c:v>0.47</c:v>
                </c:pt>
                <c:pt idx="12">
                  <c:v>0.42</c:v>
                </c:pt>
                <c:pt idx="13">
                  <c:v>0.46</c:v>
                </c:pt>
                <c:pt idx="14">
                  <c:v>0.23</c:v>
                </c:pt>
                <c:pt idx="15">
                  <c:v>0.32</c:v>
                </c:pt>
                <c:pt idx="16">
                  <c:v>0.32</c:v>
                </c:pt>
                <c:pt idx="17">
                  <c:v>0.7</c:v>
                </c:pt>
                <c:pt idx="18">
                  <c:v>0.75</c:v>
                </c:pt>
                <c:pt idx="19">
                  <c:v>1.07</c:v>
                </c:pt>
                <c:pt idx="20">
                  <c:v>1.31</c:v>
                </c:pt>
                <c:pt idx="21">
                  <c:v>2.08</c:v>
                </c:pt>
                <c:pt idx="22">
                  <c:v>2.4700000000000002</c:v>
                </c:pt>
                <c:pt idx="23">
                  <c:v>2.5299999999999998</c:v>
                </c:pt>
                <c:pt idx="24">
                  <c:v>2.95</c:v>
                </c:pt>
                <c:pt idx="25">
                  <c:v>4.0599999999999996</c:v>
                </c:pt>
                <c:pt idx="26">
                  <c:v>5.32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25-461E-BCFA-F03FAA4F729D}"/>
            </c:ext>
          </c:extLst>
        </c:ser>
        <c:ser>
          <c:idx val="3"/>
          <c:order val="1"/>
          <c:tx>
            <c:strRef>
              <c:f>'2'!$G$12</c:f>
              <c:strCache>
                <c:ptCount val="1"/>
                <c:pt idx="0">
                  <c:v>W std. dev. [um]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5"/>
          </c:marker>
          <c:xVal>
            <c:numRef>
              <c:f>'2'!$C$13:$C$39</c:f>
              <c:numCache>
                <c:formatCode>General</c:formatCode>
                <c:ptCount val="27"/>
                <c:pt idx="0">
                  <c:v>38.5</c:v>
                </c:pt>
                <c:pt idx="1">
                  <c:v>39</c:v>
                </c:pt>
                <c:pt idx="2">
                  <c:v>39.5</c:v>
                </c:pt>
                <c:pt idx="3">
                  <c:v>39.6</c:v>
                </c:pt>
                <c:pt idx="4">
                  <c:v>39.700000000000003</c:v>
                </c:pt>
                <c:pt idx="5">
                  <c:v>39.799999999999997</c:v>
                </c:pt>
                <c:pt idx="6">
                  <c:v>39.9</c:v>
                </c:pt>
                <c:pt idx="7">
                  <c:v>40</c:v>
                </c:pt>
                <c:pt idx="8">
                  <c:v>40.1</c:v>
                </c:pt>
                <c:pt idx="9">
                  <c:v>40.200000000000003</c:v>
                </c:pt>
                <c:pt idx="10">
                  <c:v>40.299999999999997</c:v>
                </c:pt>
                <c:pt idx="11">
                  <c:v>40.4</c:v>
                </c:pt>
                <c:pt idx="12">
                  <c:v>40.5</c:v>
                </c:pt>
                <c:pt idx="13">
                  <c:v>40.6</c:v>
                </c:pt>
                <c:pt idx="14">
                  <c:v>40.700000000000003</c:v>
                </c:pt>
                <c:pt idx="15">
                  <c:v>40.799999999999997</c:v>
                </c:pt>
                <c:pt idx="16">
                  <c:v>40.9</c:v>
                </c:pt>
                <c:pt idx="17">
                  <c:v>41</c:v>
                </c:pt>
                <c:pt idx="18">
                  <c:v>41.1</c:v>
                </c:pt>
                <c:pt idx="19">
                  <c:v>41.2</c:v>
                </c:pt>
                <c:pt idx="20">
                  <c:v>41.3</c:v>
                </c:pt>
                <c:pt idx="21">
                  <c:v>41.4</c:v>
                </c:pt>
                <c:pt idx="22">
                  <c:v>41.5</c:v>
                </c:pt>
                <c:pt idx="23">
                  <c:v>41.6</c:v>
                </c:pt>
                <c:pt idx="24">
                  <c:v>41.7</c:v>
                </c:pt>
                <c:pt idx="25">
                  <c:v>41.8</c:v>
                </c:pt>
                <c:pt idx="26">
                  <c:v>41.9</c:v>
                </c:pt>
              </c:numCache>
            </c:numRef>
          </c:xVal>
          <c:yVal>
            <c:numRef>
              <c:f>'2'!$G$13:$G$39</c:f>
              <c:numCache>
                <c:formatCode>General</c:formatCode>
                <c:ptCount val="27"/>
                <c:pt idx="0">
                  <c:v>5.91</c:v>
                </c:pt>
                <c:pt idx="1">
                  <c:v>7.17</c:v>
                </c:pt>
                <c:pt idx="2">
                  <c:v>7.04</c:v>
                </c:pt>
                <c:pt idx="3">
                  <c:v>6.3</c:v>
                </c:pt>
                <c:pt idx="4">
                  <c:v>6.83</c:v>
                </c:pt>
                <c:pt idx="5">
                  <c:v>6.38</c:v>
                </c:pt>
                <c:pt idx="6">
                  <c:v>6.22</c:v>
                </c:pt>
                <c:pt idx="7">
                  <c:v>6.04</c:v>
                </c:pt>
                <c:pt idx="8">
                  <c:v>5.58</c:v>
                </c:pt>
                <c:pt idx="9">
                  <c:v>5.57</c:v>
                </c:pt>
                <c:pt idx="10">
                  <c:v>5.14</c:v>
                </c:pt>
                <c:pt idx="11">
                  <c:v>6.09</c:v>
                </c:pt>
                <c:pt idx="12">
                  <c:v>4.8600000000000003</c:v>
                </c:pt>
                <c:pt idx="13">
                  <c:v>5.95</c:v>
                </c:pt>
                <c:pt idx="14">
                  <c:v>4.75</c:v>
                </c:pt>
                <c:pt idx="15">
                  <c:v>4.99</c:v>
                </c:pt>
                <c:pt idx="16">
                  <c:v>5.75</c:v>
                </c:pt>
                <c:pt idx="17">
                  <c:v>4.9800000000000004</c:v>
                </c:pt>
                <c:pt idx="18">
                  <c:v>5.81</c:v>
                </c:pt>
                <c:pt idx="19">
                  <c:v>6.57</c:v>
                </c:pt>
                <c:pt idx="20">
                  <c:v>5.4</c:v>
                </c:pt>
                <c:pt idx="21">
                  <c:v>4.93</c:v>
                </c:pt>
                <c:pt idx="22">
                  <c:v>5.27</c:v>
                </c:pt>
                <c:pt idx="23">
                  <c:v>5.81</c:v>
                </c:pt>
                <c:pt idx="24">
                  <c:v>5.63</c:v>
                </c:pt>
                <c:pt idx="25">
                  <c:v>5.62</c:v>
                </c:pt>
                <c:pt idx="26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25-461E-BCFA-F03FAA4F7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10048"/>
        <c:axId val="49828608"/>
      </c:scatterChart>
      <c:valAx>
        <c:axId val="49810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from source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828608"/>
        <c:crosses val="autoZero"/>
        <c:crossBetween val="midCat"/>
      </c:valAx>
      <c:valAx>
        <c:axId val="498286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Beam width st.d dev. [um]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8100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'2-Corrected'!$D$12</c:f>
              <c:strCache>
                <c:ptCount val="1"/>
                <c:pt idx="0">
                  <c:v>V width e^-2 [um]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'2-Corrected'!$C$13:$C$42</c:f>
              <c:numCache>
                <c:formatCode>General</c:formatCode>
                <c:ptCount val="30"/>
                <c:pt idx="0">
                  <c:v>33.519999999999996</c:v>
                </c:pt>
                <c:pt idx="1">
                  <c:v>34.019999999999996</c:v>
                </c:pt>
                <c:pt idx="2">
                  <c:v>34.519999999999996</c:v>
                </c:pt>
                <c:pt idx="3">
                  <c:v>34.619999999999997</c:v>
                </c:pt>
                <c:pt idx="4">
                  <c:v>34.72</c:v>
                </c:pt>
                <c:pt idx="5">
                  <c:v>34.82</c:v>
                </c:pt>
                <c:pt idx="6">
                  <c:v>34.92</c:v>
                </c:pt>
                <c:pt idx="7">
                  <c:v>35.019999999999996</c:v>
                </c:pt>
                <c:pt idx="8">
                  <c:v>35.119999999999997</c:v>
                </c:pt>
                <c:pt idx="9">
                  <c:v>35.22</c:v>
                </c:pt>
                <c:pt idx="10">
                  <c:v>35.32</c:v>
                </c:pt>
                <c:pt idx="11">
                  <c:v>35.42</c:v>
                </c:pt>
                <c:pt idx="12">
                  <c:v>35.519999999999996</c:v>
                </c:pt>
                <c:pt idx="13">
                  <c:v>35.619999999999997</c:v>
                </c:pt>
                <c:pt idx="14">
                  <c:v>35.72</c:v>
                </c:pt>
                <c:pt idx="15">
                  <c:v>35.82</c:v>
                </c:pt>
                <c:pt idx="16">
                  <c:v>35.92</c:v>
                </c:pt>
                <c:pt idx="17">
                  <c:v>36.019999999999996</c:v>
                </c:pt>
                <c:pt idx="18">
                  <c:v>36.119999999999997</c:v>
                </c:pt>
                <c:pt idx="19">
                  <c:v>36.22</c:v>
                </c:pt>
                <c:pt idx="20">
                  <c:v>36.32</c:v>
                </c:pt>
                <c:pt idx="21">
                  <c:v>36.42</c:v>
                </c:pt>
                <c:pt idx="22">
                  <c:v>36.519999999999996</c:v>
                </c:pt>
                <c:pt idx="23">
                  <c:v>36.619999999999997</c:v>
                </c:pt>
                <c:pt idx="24">
                  <c:v>36.72</c:v>
                </c:pt>
                <c:pt idx="25">
                  <c:v>36.82</c:v>
                </c:pt>
                <c:pt idx="26">
                  <c:v>36.92</c:v>
                </c:pt>
                <c:pt idx="27">
                  <c:v>37.019999999999996</c:v>
                </c:pt>
                <c:pt idx="28">
                  <c:v>37.519999999999996</c:v>
                </c:pt>
                <c:pt idx="29">
                  <c:v>38.019999999999996</c:v>
                </c:pt>
              </c:numCache>
            </c:numRef>
          </c:xVal>
          <c:yVal>
            <c:numRef>
              <c:f>'2-Corrected'!$D$13:$D$42</c:f>
              <c:numCache>
                <c:formatCode>General</c:formatCode>
                <c:ptCount val="30"/>
                <c:pt idx="0">
                  <c:v>672.42</c:v>
                </c:pt>
                <c:pt idx="1">
                  <c:v>533.1</c:v>
                </c:pt>
                <c:pt idx="2">
                  <c:v>387.34</c:v>
                </c:pt>
                <c:pt idx="3">
                  <c:v>352.57</c:v>
                </c:pt>
                <c:pt idx="4">
                  <c:v>323.58</c:v>
                </c:pt>
                <c:pt idx="5">
                  <c:v>288.42</c:v>
                </c:pt>
                <c:pt idx="6">
                  <c:v>259.14999999999998</c:v>
                </c:pt>
                <c:pt idx="7">
                  <c:v>230.46</c:v>
                </c:pt>
                <c:pt idx="8">
                  <c:v>200.24</c:v>
                </c:pt>
                <c:pt idx="9">
                  <c:v>171.85</c:v>
                </c:pt>
                <c:pt idx="10">
                  <c:v>145.31</c:v>
                </c:pt>
                <c:pt idx="11">
                  <c:v>121.16</c:v>
                </c:pt>
                <c:pt idx="12">
                  <c:v>96.55</c:v>
                </c:pt>
                <c:pt idx="13">
                  <c:v>74.42</c:v>
                </c:pt>
                <c:pt idx="14">
                  <c:v>57.43</c:v>
                </c:pt>
                <c:pt idx="15">
                  <c:v>60.03</c:v>
                </c:pt>
                <c:pt idx="16">
                  <c:v>69.8</c:v>
                </c:pt>
                <c:pt idx="17">
                  <c:v>85.92</c:v>
                </c:pt>
                <c:pt idx="18">
                  <c:v>100.65</c:v>
                </c:pt>
                <c:pt idx="19">
                  <c:v>124.42</c:v>
                </c:pt>
                <c:pt idx="20">
                  <c:v>150.78</c:v>
                </c:pt>
                <c:pt idx="21">
                  <c:v>178.07</c:v>
                </c:pt>
                <c:pt idx="22">
                  <c:v>201.45</c:v>
                </c:pt>
                <c:pt idx="23">
                  <c:v>231.46</c:v>
                </c:pt>
                <c:pt idx="24">
                  <c:v>259.89999999999998</c:v>
                </c:pt>
                <c:pt idx="25">
                  <c:v>285.76</c:v>
                </c:pt>
                <c:pt idx="26">
                  <c:v>315.83</c:v>
                </c:pt>
                <c:pt idx="27">
                  <c:v>345.87</c:v>
                </c:pt>
                <c:pt idx="28">
                  <c:v>484.83</c:v>
                </c:pt>
                <c:pt idx="29">
                  <c:v>636.63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C7-4ADA-8866-9052972DAD1C}"/>
            </c:ext>
          </c:extLst>
        </c:ser>
        <c:ser>
          <c:idx val="1"/>
          <c:order val="1"/>
          <c:tx>
            <c:strRef>
              <c:f>'2-Corrected'!$F$12</c:f>
              <c:strCache>
                <c:ptCount val="1"/>
                <c:pt idx="0">
                  <c:v>W width e^-2 [um]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'2-Corrected'!$C$13:$C$42</c:f>
              <c:numCache>
                <c:formatCode>General</c:formatCode>
                <c:ptCount val="30"/>
                <c:pt idx="0">
                  <c:v>33.519999999999996</c:v>
                </c:pt>
                <c:pt idx="1">
                  <c:v>34.019999999999996</c:v>
                </c:pt>
                <c:pt idx="2">
                  <c:v>34.519999999999996</c:v>
                </c:pt>
                <c:pt idx="3">
                  <c:v>34.619999999999997</c:v>
                </c:pt>
                <c:pt idx="4">
                  <c:v>34.72</c:v>
                </c:pt>
                <c:pt idx="5">
                  <c:v>34.82</c:v>
                </c:pt>
                <c:pt idx="6">
                  <c:v>34.92</c:v>
                </c:pt>
                <c:pt idx="7">
                  <c:v>35.019999999999996</c:v>
                </c:pt>
                <c:pt idx="8">
                  <c:v>35.119999999999997</c:v>
                </c:pt>
                <c:pt idx="9">
                  <c:v>35.22</c:v>
                </c:pt>
                <c:pt idx="10">
                  <c:v>35.32</c:v>
                </c:pt>
                <c:pt idx="11">
                  <c:v>35.42</c:v>
                </c:pt>
                <c:pt idx="12">
                  <c:v>35.519999999999996</c:v>
                </c:pt>
                <c:pt idx="13">
                  <c:v>35.619999999999997</c:v>
                </c:pt>
                <c:pt idx="14">
                  <c:v>35.72</c:v>
                </c:pt>
                <c:pt idx="15">
                  <c:v>35.82</c:v>
                </c:pt>
                <c:pt idx="16">
                  <c:v>35.92</c:v>
                </c:pt>
                <c:pt idx="17">
                  <c:v>36.019999999999996</c:v>
                </c:pt>
                <c:pt idx="18">
                  <c:v>36.119999999999997</c:v>
                </c:pt>
                <c:pt idx="19">
                  <c:v>36.22</c:v>
                </c:pt>
                <c:pt idx="20">
                  <c:v>36.32</c:v>
                </c:pt>
                <c:pt idx="21">
                  <c:v>36.42</c:v>
                </c:pt>
                <c:pt idx="22">
                  <c:v>36.519999999999996</c:v>
                </c:pt>
                <c:pt idx="23">
                  <c:v>36.619999999999997</c:v>
                </c:pt>
                <c:pt idx="24">
                  <c:v>36.72</c:v>
                </c:pt>
                <c:pt idx="25">
                  <c:v>36.82</c:v>
                </c:pt>
                <c:pt idx="26">
                  <c:v>36.92</c:v>
                </c:pt>
                <c:pt idx="27">
                  <c:v>37.019999999999996</c:v>
                </c:pt>
                <c:pt idx="28">
                  <c:v>37.519999999999996</c:v>
                </c:pt>
                <c:pt idx="29">
                  <c:v>38.019999999999996</c:v>
                </c:pt>
              </c:numCache>
            </c:numRef>
          </c:xVal>
          <c:yVal>
            <c:numRef>
              <c:f>'2-Corrected'!$F$13:$F$42</c:f>
              <c:numCache>
                <c:formatCode>General</c:formatCode>
                <c:ptCount val="30"/>
                <c:pt idx="0">
                  <c:v>527.6</c:v>
                </c:pt>
                <c:pt idx="1">
                  <c:v>529.35</c:v>
                </c:pt>
                <c:pt idx="2">
                  <c:v>529.87</c:v>
                </c:pt>
                <c:pt idx="3">
                  <c:v>530.70000000000005</c:v>
                </c:pt>
                <c:pt idx="4">
                  <c:v>530.24</c:v>
                </c:pt>
                <c:pt idx="5">
                  <c:v>532.88</c:v>
                </c:pt>
                <c:pt idx="6">
                  <c:v>531.48</c:v>
                </c:pt>
                <c:pt idx="7">
                  <c:v>530.82000000000005</c:v>
                </c:pt>
                <c:pt idx="8">
                  <c:v>531.41999999999996</c:v>
                </c:pt>
                <c:pt idx="9">
                  <c:v>529.97</c:v>
                </c:pt>
                <c:pt idx="10">
                  <c:v>532.57000000000005</c:v>
                </c:pt>
                <c:pt idx="11">
                  <c:v>534.70000000000005</c:v>
                </c:pt>
                <c:pt idx="12">
                  <c:v>532.98</c:v>
                </c:pt>
                <c:pt idx="13">
                  <c:v>535.15</c:v>
                </c:pt>
                <c:pt idx="14">
                  <c:v>533.91</c:v>
                </c:pt>
                <c:pt idx="15">
                  <c:v>534.33000000000004</c:v>
                </c:pt>
                <c:pt idx="16">
                  <c:v>534.62</c:v>
                </c:pt>
                <c:pt idx="17">
                  <c:v>539.27</c:v>
                </c:pt>
                <c:pt idx="18">
                  <c:v>537.46</c:v>
                </c:pt>
                <c:pt idx="19">
                  <c:v>536.24</c:v>
                </c:pt>
                <c:pt idx="20">
                  <c:v>536.95000000000005</c:v>
                </c:pt>
                <c:pt idx="21">
                  <c:v>537.05999999999995</c:v>
                </c:pt>
                <c:pt idx="22">
                  <c:v>538.02</c:v>
                </c:pt>
                <c:pt idx="23">
                  <c:v>539.98</c:v>
                </c:pt>
                <c:pt idx="24">
                  <c:v>537.62</c:v>
                </c:pt>
                <c:pt idx="25">
                  <c:v>539.28</c:v>
                </c:pt>
                <c:pt idx="26">
                  <c:v>540.14</c:v>
                </c:pt>
                <c:pt idx="27">
                  <c:v>541.27</c:v>
                </c:pt>
                <c:pt idx="28">
                  <c:v>546.13</c:v>
                </c:pt>
                <c:pt idx="29">
                  <c:v>545.69000000000005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C7-4ADA-8866-9052972DA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38240"/>
        <c:axId val="42271488"/>
      </c:scatterChart>
      <c:valAx>
        <c:axId val="4213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from source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271488"/>
        <c:crosses val="autoZero"/>
        <c:crossBetween val="midCat"/>
      </c:valAx>
      <c:valAx>
        <c:axId val="422714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Beam width [um]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1382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'2-Corrected'!$E$12</c:f>
              <c:strCache>
                <c:ptCount val="1"/>
                <c:pt idx="0">
                  <c:v>V std. dev. [um]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</c:marker>
          <c:xVal>
            <c:numRef>
              <c:f>'2-Corrected'!$C$13:$C$39</c:f>
              <c:numCache>
                <c:formatCode>General</c:formatCode>
                <c:ptCount val="27"/>
                <c:pt idx="0">
                  <c:v>33.519999999999996</c:v>
                </c:pt>
                <c:pt idx="1">
                  <c:v>34.019999999999996</c:v>
                </c:pt>
                <c:pt idx="2">
                  <c:v>34.519999999999996</c:v>
                </c:pt>
                <c:pt idx="3">
                  <c:v>34.619999999999997</c:v>
                </c:pt>
                <c:pt idx="4">
                  <c:v>34.72</c:v>
                </c:pt>
                <c:pt idx="5">
                  <c:v>34.82</c:v>
                </c:pt>
                <c:pt idx="6">
                  <c:v>34.92</c:v>
                </c:pt>
                <c:pt idx="7">
                  <c:v>35.019999999999996</c:v>
                </c:pt>
                <c:pt idx="8">
                  <c:v>35.119999999999997</c:v>
                </c:pt>
                <c:pt idx="9">
                  <c:v>35.22</c:v>
                </c:pt>
                <c:pt idx="10">
                  <c:v>35.32</c:v>
                </c:pt>
                <c:pt idx="11">
                  <c:v>35.42</c:v>
                </c:pt>
                <c:pt idx="12">
                  <c:v>35.519999999999996</c:v>
                </c:pt>
                <c:pt idx="13">
                  <c:v>35.619999999999997</c:v>
                </c:pt>
                <c:pt idx="14">
                  <c:v>35.72</c:v>
                </c:pt>
                <c:pt idx="15">
                  <c:v>35.82</c:v>
                </c:pt>
                <c:pt idx="16">
                  <c:v>35.92</c:v>
                </c:pt>
                <c:pt idx="17">
                  <c:v>36.019999999999996</c:v>
                </c:pt>
                <c:pt idx="18">
                  <c:v>36.119999999999997</c:v>
                </c:pt>
                <c:pt idx="19">
                  <c:v>36.22</c:v>
                </c:pt>
                <c:pt idx="20">
                  <c:v>36.32</c:v>
                </c:pt>
                <c:pt idx="21">
                  <c:v>36.42</c:v>
                </c:pt>
                <c:pt idx="22">
                  <c:v>36.519999999999996</c:v>
                </c:pt>
                <c:pt idx="23">
                  <c:v>36.619999999999997</c:v>
                </c:pt>
                <c:pt idx="24">
                  <c:v>36.72</c:v>
                </c:pt>
                <c:pt idx="25">
                  <c:v>36.82</c:v>
                </c:pt>
                <c:pt idx="26">
                  <c:v>36.92</c:v>
                </c:pt>
              </c:numCache>
            </c:numRef>
          </c:xVal>
          <c:yVal>
            <c:numRef>
              <c:f>'2-Corrected'!$E$13:$E$39</c:f>
              <c:numCache>
                <c:formatCode>General</c:formatCode>
                <c:ptCount val="27"/>
                <c:pt idx="0">
                  <c:v>4.63</c:v>
                </c:pt>
                <c:pt idx="1">
                  <c:v>2.86</c:v>
                </c:pt>
                <c:pt idx="2">
                  <c:v>2.58</c:v>
                </c:pt>
                <c:pt idx="3">
                  <c:v>2.0499999999999998</c:v>
                </c:pt>
                <c:pt idx="4">
                  <c:v>2</c:v>
                </c:pt>
                <c:pt idx="5">
                  <c:v>1.53</c:v>
                </c:pt>
                <c:pt idx="6">
                  <c:v>1.24</c:v>
                </c:pt>
                <c:pt idx="7">
                  <c:v>1.03</c:v>
                </c:pt>
                <c:pt idx="8">
                  <c:v>0.72</c:v>
                </c:pt>
                <c:pt idx="9">
                  <c:v>0.78</c:v>
                </c:pt>
                <c:pt idx="10">
                  <c:v>0.6</c:v>
                </c:pt>
                <c:pt idx="11">
                  <c:v>0.47</c:v>
                </c:pt>
                <c:pt idx="12">
                  <c:v>0.42</c:v>
                </c:pt>
                <c:pt idx="13">
                  <c:v>0.46</c:v>
                </c:pt>
                <c:pt idx="14">
                  <c:v>0.23</c:v>
                </c:pt>
                <c:pt idx="15">
                  <c:v>0.32</c:v>
                </c:pt>
                <c:pt idx="16">
                  <c:v>0.32</c:v>
                </c:pt>
                <c:pt idx="17">
                  <c:v>0.7</c:v>
                </c:pt>
                <c:pt idx="18">
                  <c:v>0.75</c:v>
                </c:pt>
                <c:pt idx="19">
                  <c:v>1.07</c:v>
                </c:pt>
                <c:pt idx="20">
                  <c:v>1.31</c:v>
                </c:pt>
                <c:pt idx="21">
                  <c:v>2.08</c:v>
                </c:pt>
                <c:pt idx="22">
                  <c:v>2.4700000000000002</c:v>
                </c:pt>
                <c:pt idx="23">
                  <c:v>2.5299999999999998</c:v>
                </c:pt>
                <c:pt idx="24">
                  <c:v>2.95</c:v>
                </c:pt>
                <c:pt idx="25">
                  <c:v>4.0599999999999996</c:v>
                </c:pt>
                <c:pt idx="26">
                  <c:v>5.32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98-4BF6-B341-D9D8F42E2EE4}"/>
            </c:ext>
          </c:extLst>
        </c:ser>
        <c:ser>
          <c:idx val="3"/>
          <c:order val="1"/>
          <c:tx>
            <c:strRef>
              <c:f>'2-Corrected'!$G$12</c:f>
              <c:strCache>
                <c:ptCount val="1"/>
                <c:pt idx="0">
                  <c:v>W std. dev. [um]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5"/>
          </c:marker>
          <c:xVal>
            <c:numRef>
              <c:f>'2-Corrected'!$C$13:$C$39</c:f>
              <c:numCache>
                <c:formatCode>General</c:formatCode>
                <c:ptCount val="27"/>
                <c:pt idx="0">
                  <c:v>33.519999999999996</c:v>
                </c:pt>
                <c:pt idx="1">
                  <c:v>34.019999999999996</c:v>
                </c:pt>
                <c:pt idx="2">
                  <c:v>34.519999999999996</c:v>
                </c:pt>
                <c:pt idx="3">
                  <c:v>34.619999999999997</c:v>
                </c:pt>
                <c:pt idx="4">
                  <c:v>34.72</c:v>
                </c:pt>
                <c:pt idx="5">
                  <c:v>34.82</c:v>
                </c:pt>
                <c:pt idx="6">
                  <c:v>34.92</c:v>
                </c:pt>
                <c:pt idx="7">
                  <c:v>35.019999999999996</c:v>
                </c:pt>
                <c:pt idx="8">
                  <c:v>35.119999999999997</c:v>
                </c:pt>
                <c:pt idx="9">
                  <c:v>35.22</c:v>
                </c:pt>
                <c:pt idx="10">
                  <c:v>35.32</c:v>
                </c:pt>
                <c:pt idx="11">
                  <c:v>35.42</c:v>
                </c:pt>
                <c:pt idx="12">
                  <c:v>35.519999999999996</c:v>
                </c:pt>
                <c:pt idx="13">
                  <c:v>35.619999999999997</c:v>
                </c:pt>
                <c:pt idx="14">
                  <c:v>35.72</c:v>
                </c:pt>
                <c:pt idx="15">
                  <c:v>35.82</c:v>
                </c:pt>
                <c:pt idx="16">
                  <c:v>35.92</c:v>
                </c:pt>
                <c:pt idx="17">
                  <c:v>36.019999999999996</c:v>
                </c:pt>
                <c:pt idx="18">
                  <c:v>36.119999999999997</c:v>
                </c:pt>
                <c:pt idx="19">
                  <c:v>36.22</c:v>
                </c:pt>
                <c:pt idx="20">
                  <c:v>36.32</c:v>
                </c:pt>
                <c:pt idx="21">
                  <c:v>36.42</c:v>
                </c:pt>
                <c:pt idx="22">
                  <c:v>36.519999999999996</c:v>
                </c:pt>
                <c:pt idx="23">
                  <c:v>36.619999999999997</c:v>
                </c:pt>
                <c:pt idx="24">
                  <c:v>36.72</c:v>
                </c:pt>
                <c:pt idx="25">
                  <c:v>36.82</c:v>
                </c:pt>
                <c:pt idx="26">
                  <c:v>36.92</c:v>
                </c:pt>
              </c:numCache>
            </c:numRef>
          </c:xVal>
          <c:yVal>
            <c:numRef>
              <c:f>'2-Corrected'!$G$13:$G$39</c:f>
              <c:numCache>
                <c:formatCode>General</c:formatCode>
                <c:ptCount val="27"/>
                <c:pt idx="0">
                  <c:v>5.91</c:v>
                </c:pt>
                <c:pt idx="1">
                  <c:v>7.17</c:v>
                </c:pt>
                <c:pt idx="2">
                  <c:v>7.04</c:v>
                </c:pt>
                <c:pt idx="3">
                  <c:v>6.3</c:v>
                </c:pt>
                <c:pt idx="4">
                  <c:v>6.83</c:v>
                </c:pt>
                <c:pt idx="5">
                  <c:v>6.38</c:v>
                </c:pt>
                <c:pt idx="6">
                  <c:v>6.22</c:v>
                </c:pt>
                <c:pt idx="7">
                  <c:v>6.04</c:v>
                </c:pt>
                <c:pt idx="8">
                  <c:v>5.58</c:v>
                </c:pt>
                <c:pt idx="9">
                  <c:v>5.57</c:v>
                </c:pt>
                <c:pt idx="10">
                  <c:v>5.14</c:v>
                </c:pt>
                <c:pt idx="11">
                  <c:v>6.09</c:v>
                </c:pt>
                <c:pt idx="12">
                  <c:v>4.8600000000000003</c:v>
                </c:pt>
                <c:pt idx="13">
                  <c:v>5.95</c:v>
                </c:pt>
                <c:pt idx="14">
                  <c:v>4.75</c:v>
                </c:pt>
                <c:pt idx="15">
                  <c:v>4.99</c:v>
                </c:pt>
                <c:pt idx="16">
                  <c:v>5.75</c:v>
                </c:pt>
                <c:pt idx="17">
                  <c:v>4.9800000000000004</c:v>
                </c:pt>
                <c:pt idx="18">
                  <c:v>5.81</c:v>
                </c:pt>
                <c:pt idx="19">
                  <c:v>6.57</c:v>
                </c:pt>
                <c:pt idx="20">
                  <c:v>5.4</c:v>
                </c:pt>
                <c:pt idx="21">
                  <c:v>4.93</c:v>
                </c:pt>
                <c:pt idx="22">
                  <c:v>5.27</c:v>
                </c:pt>
                <c:pt idx="23">
                  <c:v>5.81</c:v>
                </c:pt>
                <c:pt idx="24">
                  <c:v>5.63</c:v>
                </c:pt>
                <c:pt idx="25">
                  <c:v>5.62</c:v>
                </c:pt>
                <c:pt idx="26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98-4BF6-B341-D9D8F42E2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05024"/>
        <c:axId val="42306944"/>
      </c:scatterChart>
      <c:valAx>
        <c:axId val="4230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from source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306944"/>
        <c:crosses val="autoZero"/>
        <c:crossBetween val="midCat"/>
      </c:valAx>
      <c:valAx>
        <c:axId val="423069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Beam width st.d dev. [um]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305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'3'!$D$12</c:f>
              <c:strCache>
                <c:ptCount val="1"/>
                <c:pt idx="0">
                  <c:v>V width e^-2 [um]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'3'!$C$13:$C$100</c:f>
              <c:numCache>
                <c:formatCode>General</c:formatCode>
                <c:ptCount val="88"/>
                <c:pt idx="0">
                  <c:v>31.52</c:v>
                </c:pt>
                <c:pt idx="1">
                  <c:v>32.019999999999996</c:v>
                </c:pt>
                <c:pt idx="2">
                  <c:v>32.519999999999996</c:v>
                </c:pt>
                <c:pt idx="3">
                  <c:v>33.019999999999996</c:v>
                </c:pt>
                <c:pt idx="4">
                  <c:v>33.519999999999996</c:v>
                </c:pt>
                <c:pt idx="5">
                  <c:v>34.019999999999996</c:v>
                </c:pt>
                <c:pt idx="6">
                  <c:v>34.519999999999996</c:v>
                </c:pt>
                <c:pt idx="7">
                  <c:v>35.019999999999996</c:v>
                </c:pt>
                <c:pt idx="8">
                  <c:v>35.119999999999997</c:v>
                </c:pt>
                <c:pt idx="9">
                  <c:v>35.22</c:v>
                </c:pt>
                <c:pt idx="10">
                  <c:v>35.32</c:v>
                </c:pt>
                <c:pt idx="11">
                  <c:v>35.42</c:v>
                </c:pt>
                <c:pt idx="12">
                  <c:v>35.519999999999996</c:v>
                </c:pt>
                <c:pt idx="13">
                  <c:v>35.619999999999997</c:v>
                </c:pt>
                <c:pt idx="14">
                  <c:v>35.72</c:v>
                </c:pt>
                <c:pt idx="15">
                  <c:v>35.82</c:v>
                </c:pt>
                <c:pt idx="16">
                  <c:v>35.92</c:v>
                </c:pt>
                <c:pt idx="17">
                  <c:v>36.019999999999996</c:v>
                </c:pt>
                <c:pt idx="18">
                  <c:v>36.119999999999997</c:v>
                </c:pt>
                <c:pt idx="19">
                  <c:v>36.22</c:v>
                </c:pt>
                <c:pt idx="20">
                  <c:v>36.32</c:v>
                </c:pt>
                <c:pt idx="21">
                  <c:v>36.42</c:v>
                </c:pt>
                <c:pt idx="22">
                  <c:v>36.519999999999996</c:v>
                </c:pt>
                <c:pt idx="23">
                  <c:v>36.619999999999997</c:v>
                </c:pt>
                <c:pt idx="24">
                  <c:v>36.72</c:v>
                </c:pt>
                <c:pt idx="25">
                  <c:v>36.82</c:v>
                </c:pt>
                <c:pt idx="26">
                  <c:v>36.92</c:v>
                </c:pt>
                <c:pt idx="27">
                  <c:v>37.019999999999996</c:v>
                </c:pt>
                <c:pt idx="28">
                  <c:v>37.119999999999997</c:v>
                </c:pt>
                <c:pt idx="29">
                  <c:v>37.22</c:v>
                </c:pt>
                <c:pt idx="30">
                  <c:v>37.32</c:v>
                </c:pt>
                <c:pt idx="31">
                  <c:v>37.42</c:v>
                </c:pt>
                <c:pt idx="32">
                  <c:v>37.519999999999996</c:v>
                </c:pt>
                <c:pt idx="33">
                  <c:v>38.019999999999996</c:v>
                </c:pt>
              </c:numCache>
            </c:numRef>
          </c:xVal>
          <c:yVal>
            <c:numRef>
              <c:f>'3'!$D$13:$D$100</c:f>
              <c:numCache>
                <c:formatCode>General</c:formatCode>
                <c:ptCount val="88"/>
                <c:pt idx="0">
                  <c:v>1320.18</c:v>
                </c:pt>
                <c:pt idx="1">
                  <c:v>1172.9100000000001</c:v>
                </c:pt>
                <c:pt idx="2">
                  <c:v>1028.24</c:v>
                </c:pt>
                <c:pt idx="3">
                  <c:v>885.77</c:v>
                </c:pt>
                <c:pt idx="4">
                  <c:v>741.73</c:v>
                </c:pt>
                <c:pt idx="5">
                  <c:v>604.55999999999995</c:v>
                </c:pt>
                <c:pt idx="6">
                  <c:v>471.32</c:v>
                </c:pt>
                <c:pt idx="7">
                  <c:v>318.07</c:v>
                </c:pt>
                <c:pt idx="8">
                  <c:v>289.99</c:v>
                </c:pt>
                <c:pt idx="9">
                  <c:v>259.49</c:v>
                </c:pt>
                <c:pt idx="10">
                  <c:v>227.38</c:v>
                </c:pt>
                <c:pt idx="11">
                  <c:v>197.99</c:v>
                </c:pt>
                <c:pt idx="12">
                  <c:v>169.68</c:v>
                </c:pt>
                <c:pt idx="13">
                  <c:v>145.58000000000001</c:v>
                </c:pt>
                <c:pt idx="14">
                  <c:v>120.92</c:v>
                </c:pt>
                <c:pt idx="15">
                  <c:v>95.52</c:v>
                </c:pt>
                <c:pt idx="16">
                  <c:v>72.459999999999994</c:v>
                </c:pt>
                <c:pt idx="17">
                  <c:v>58.49</c:v>
                </c:pt>
                <c:pt idx="18">
                  <c:v>61.01</c:v>
                </c:pt>
                <c:pt idx="19">
                  <c:v>70.41</c:v>
                </c:pt>
                <c:pt idx="20">
                  <c:v>84.18</c:v>
                </c:pt>
                <c:pt idx="21">
                  <c:v>101.47</c:v>
                </c:pt>
                <c:pt idx="22">
                  <c:v>122.45</c:v>
                </c:pt>
                <c:pt idx="23">
                  <c:v>148.38</c:v>
                </c:pt>
                <c:pt idx="24">
                  <c:v>172.59</c:v>
                </c:pt>
                <c:pt idx="25">
                  <c:v>201.75</c:v>
                </c:pt>
                <c:pt idx="26">
                  <c:v>227.16</c:v>
                </c:pt>
                <c:pt idx="27">
                  <c:v>254.75</c:v>
                </c:pt>
                <c:pt idx="28">
                  <c:v>279.94</c:v>
                </c:pt>
                <c:pt idx="29">
                  <c:v>308.54000000000002</c:v>
                </c:pt>
                <c:pt idx="30">
                  <c:v>340.37</c:v>
                </c:pt>
                <c:pt idx="31">
                  <c:v>371.86</c:v>
                </c:pt>
                <c:pt idx="32">
                  <c:v>392.4</c:v>
                </c:pt>
                <c:pt idx="33">
                  <c:v>538.25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81-4FB7-A5C9-47A3AE5138E2}"/>
            </c:ext>
          </c:extLst>
        </c:ser>
        <c:ser>
          <c:idx val="1"/>
          <c:order val="1"/>
          <c:tx>
            <c:strRef>
              <c:f>'3'!$F$12</c:f>
              <c:strCache>
                <c:ptCount val="1"/>
                <c:pt idx="0">
                  <c:v>W width e^-2 [um]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'3'!$C$13:$C$100</c:f>
              <c:numCache>
                <c:formatCode>General</c:formatCode>
                <c:ptCount val="88"/>
                <c:pt idx="0">
                  <c:v>31.52</c:v>
                </c:pt>
                <c:pt idx="1">
                  <c:v>32.019999999999996</c:v>
                </c:pt>
                <c:pt idx="2">
                  <c:v>32.519999999999996</c:v>
                </c:pt>
                <c:pt idx="3">
                  <c:v>33.019999999999996</c:v>
                </c:pt>
                <c:pt idx="4">
                  <c:v>33.519999999999996</c:v>
                </c:pt>
                <c:pt idx="5">
                  <c:v>34.019999999999996</c:v>
                </c:pt>
                <c:pt idx="6">
                  <c:v>34.519999999999996</c:v>
                </c:pt>
                <c:pt idx="7">
                  <c:v>35.019999999999996</c:v>
                </c:pt>
                <c:pt idx="8">
                  <c:v>35.119999999999997</c:v>
                </c:pt>
                <c:pt idx="9">
                  <c:v>35.22</c:v>
                </c:pt>
                <c:pt idx="10">
                  <c:v>35.32</c:v>
                </c:pt>
                <c:pt idx="11">
                  <c:v>35.42</c:v>
                </c:pt>
                <c:pt idx="12">
                  <c:v>35.519999999999996</c:v>
                </c:pt>
                <c:pt idx="13">
                  <c:v>35.619999999999997</c:v>
                </c:pt>
                <c:pt idx="14">
                  <c:v>35.72</c:v>
                </c:pt>
                <c:pt idx="15">
                  <c:v>35.82</c:v>
                </c:pt>
                <c:pt idx="16">
                  <c:v>35.92</c:v>
                </c:pt>
                <c:pt idx="17">
                  <c:v>36.019999999999996</c:v>
                </c:pt>
                <c:pt idx="18">
                  <c:v>36.119999999999997</c:v>
                </c:pt>
                <c:pt idx="19">
                  <c:v>36.22</c:v>
                </c:pt>
                <c:pt idx="20">
                  <c:v>36.32</c:v>
                </c:pt>
                <c:pt idx="21">
                  <c:v>36.42</c:v>
                </c:pt>
                <c:pt idx="22">
                  <c:v>36.519999999999996</c:v>
                </c:pt>
                <c:pt idx="23">
                  <c:v>36.619999999999997</c:v>
                </c:pt>
                <c:pt idx="24">
                  <c:v>36.72</c:v>
                </c:pt>
                <c:pt idx="25">
                  <c:v>36.82</c:v>
                </c:pt>
                <c:pt idx="26">
                  <c:v>36.92</c:v>
                </c:pt>
                <c:pt idx="27">
                  <c:v>37.019999999999996</c:v>
                </c:pt>
                <c:pt idx="28">
                  <c:v>37.119999999999997</c:v>
                </c:pt>
                <c:pt idx="29">
                  <c:v>37.22</c:v>
                </c:pt>
                <c:pt idx="30">
                  <c:v>37.32</c:v>
                </c:pt>
                <c:pt idx="31">
                  <c:v>37.42</c:v>
                </c:pt>
                <c:pt idx="32">
                  <c:v>37.519999999999996</c:v>
                </c:pt>
                <c:pt idx="33">
                  <c:v>38.019999999999996</c:v>
                </c:pt>
              </c:numCache>
            </c:numRef>
          </c:xVal>
          <c:yVal>
            <c:numRef>
              <c:f>'3'!$F$13:$F$100</c:f>
              <c:numCache>
                <c:formatCode>General</c:formatCode>
                <c:ptCount val="88"/>
                <c:pt idx="0">
                  <c:v>488.39</c:v>
                </c:pt>
                <c:pt idx="1">
                  <c:v>486.58</c:v>
                </c:pt>
                <c:pt idx="2">
                  <c:v>485.65</c:v>
                </c:pt>
                <c:pt idx="3">
                  <c:v>486.02</c:v>
                </c:pt>
                <c:pt idx="4">
                  <c:v>486.11</c:v>
                </c:pt>
                <c:pt idx="5">
                  <c:v>485.26</c:v>
                </c:pt>
                <c:pt idx="6">
                  <c:v>489.49</c:v>
                </c:pt>
                <c:pt idx="7">
                  <c:v>492.02</c:v>
                </c:pt>
                <c:pt idx="8">
                  <c:v>492.58</c:v>
                </c:pt>
                <c:pt idx="9">
                  <c:v>497.36</c:v>
                </c:pt>
                <c:pt idx="10">
                  <c:v>493.89</c:v>
                </c:pt>
                <c:pt idx="11">
                  <c:v>496.15</c:v>
                </c:pt>
                <c:pt idx="12">
                  <c:v>491.82</c:v>
                </c:pt>
                <c:pt idx="13">
                  <c:v>497.2</c:v>
                </c:pt>
                <c:pt idx="14">
                  <c:v>495.37</c:v>
                </c:pt>
                <c:pt idx="15">
                  <c:v>499.24</c:v>
                </c:pt>
                <c:pt idx="16">
                  <c:v>500.14</c:v>
                </c:pt>
                <c:pt idx="17">
                  <c:v>503.4</c:v>
                </c:pt>
                <c:pt idx="18">
                  <c:v>501.97</c:v>
                </c:pt>
                <c:pt idx="19">
                  <c:v>503.33</c:v>
                </c:pt>
                <c:pt idx="20">
                  <c:v>504.29</c:v>
                </c:pt>
                <c:pt idx="21">
                  <c:v>501.26</c:v>
                </c:pt>
                <c:pt idx="22">
                  <c:v>505.79</c:v>
                </c:pt>
                <c:pt idx="23">
                  <c:v>503.04</c:v>
                </c:pt>
                <c:pt idx="24">
                  <c:v>505.96</c:v>
                </c:pt>
                <c:pt idx="25">
                  <c:v>506.58</c:v>
                </c:pt>
                <c:pt idx="26">
                  <c:v>508.41</c:v>
                </c:pt>
                <c:pt idx="27">
                  <c:v>507.59</c:v>
                </c:pt>
                <c:pt idx="28">
                  <c:v>506.7</c:v>
                </c:pt>
                <c:pt idx="29">
                  <c:v>505.4</c:v>
                </c:pt>
                <c:pt idx="30">
                  <c:v>511.45</c:v>
                </c:pt>
                <c:pt idx="31">
                  <c:v>512.75</c:v>
                </c:pt>
                <c:pt idx="32">
                  <c:v>511.31</c:v>
                </c:pt>
                <c:pt idx="33">
                  <c:v>517.38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81-4FB7-A5C9-47A3AE513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65856"/>
        <c:axId val="49867776"/>
      </c:scatterChart>
      <c:valAx>
        <c:axId val="4986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from source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867776"/>
        <c:crosses val="autoZero"/>
        <c:crossBetween val="midCat"/>
      </c:valAx>
      <c:valAx>
        <c:axId val="4986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Beam width [um]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8658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'3'!$E$12</c:f>
              <c:strCache>
                <c:ptCount val="1"/>
                <c:pt idx="0">
                  <c:v>V std. dev. [um]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</c:marker>
          <c:xVal>
            <c:numRef>
              <c:f>'3'!$C$19:$C$45</c:f>
              <c:numCache>
                <c:formatCode>General</c:formatCode>
                <c:ptCount val="27"/>
                <c:pt idx="0">
                  <c:v>34.519999999999996</c:v>
                </c:pt>
                <c:pt idx="1">
                  <c:v>35.019999999999996</c:v>
                </c:pt>
                <c:pt idx="2">
                  <c:v>35.119999999999997</c:v>
                </c:pt>
                <c:pt idx="3">
                  <c:v>35.22</c:v>
                </c:pt>
                <c:pt idx="4">
                  <c:v>35.32</c:v>
                </c:pt>
                <c:pt idx="5">
                  <c:v>35.42</c:v>
                </c:pt>
                <c:pt idx="6">
                  <c:v>35.519999999999996</c:v>
                </c:pt>
                <c:pt idx="7">
                  <c:v>35.619999999999997</c:v>
                </c:pt>
                <c:pt idx="8">
                  <c:v>35.72</c:v>
                </c:pt>
                <c:pt idx="9">
                  <c:v>35.82</c:v>
                </c:pt>
                <c:pt idx="10">
                  <c:v>35.92</c:v>
                </c:pt>
                <c:pt idx="11">
                  <c:v>36.019999999999996</c:v>
                </c:pt>
                <c:pt idx="12">
                  <c:v>36.119999999999997</c:v>
                </c:pt>
                <c:pt idx="13">
                  <c:v>36.22</c:v>
                </c:pt>
                <c:pt idx="14">
                  <c:v>36.32</c:v>
                </c:pt>
                <c:pt idx="15">
                  <c:v>36.42</c:v>
                </c:pt>
                <c:pt idx="16">
                  <c:v>36.519999999999996</c:v>
                </c:pt>
                <c:pt idx="17">
                  <c:v>36.619999999999997</c:v>
                </c:pt>
                <c:pt idx="18">
                  <c:v>36.72</c:v>
                </c:pt>
                <c:pt idx="19">
                  <c:v>36.82</c:v>
                </c:pt>
                <c:pt idx="20">
                  <c:v>36.92</c:v>
                </c:pt>
                <c:pt idx="21">
                  <c:v>37.019999999999996</c:v>
                </c:pt>
                <c:pt idx="22">
                  <c:v>37.119999999999997</c:v>
                </c:pt>
                <c:pt idx="23">
                  <c:v>37.22</c:v>
                </c:pt>
                <c:pt idx="24">
                  <c:v>37.32</c:v>
                </c:pt>
                <c:pt idx="25">
                  <c:v>37.42</c:v>
                </c:pt>
                <c:pt idx="26">
                  <c:v>37.519999999999996</c:v>
                </c:pt>
              </c:numCache>
            </c:numRef>
          </c:xVal>
          <c:yVal>
            <c:numRef>
              <c:f>'3'!$E$19:$E$45</c:f>
              <c:numCache>
                <c:formatCode>General</c:formatCode>
                <c:ptCount val="27"/>
                <c:pt idx="0">
                  <c:v>3.79</c:v>
                </c:pt>
                <c:pt idx="1">
                  <c:v>1.59</c:v>
                </c:pt>
                <c:pt idx="2">
                  <c:v>0.98</c:v>
                </c:pt>
                <c:pt idx="3">
                  <c:v>1.22</c:v>
                </c:pt>
                <c:pt idx="4">
                  <c:v>0.96</c:v>
                </c:pt>
                <c:pt idx="5">
                  <c:v>0.79</c:v>
                </c:pt>
                <c:pt idx="6">
                  <c:v>0.57999999999999996</c:v>
                </c:pt>
                <c:pt idx="7">
                  <c:v>0.72</c:v>
                </c:pt>
                <c:pt idx="8">
                  <c:v>0.39</c:v>
                </c:pt>
                <c:pt idx="9">
                  <c:v>0.5</c:v>
                </c:pt>
                <c:pt idx="10">
                  <c:v>0.48</c:v>
                </c:pt>
                <c:pt idx="11">
                  <c:v>0.28000000000000003</c:v>
                </c:pt>
                <c:pt idx="12">
                  <c:v>0.28999999999999998</c:v>
                </c:pt>
                <c:pt idx="13">
                  <c:v>0.37</c:v>
                </c:pt>
                <c:pt idx="14">
                  <c:v>0.44</c:v>
                </c:pt>
                <c:pt idx="15">
                  <c:v>0.74</c:v>
                </c:pt>
                <c:pt idx="16">
                  <c:v>0.81</c:v>
                </c:pt>
                <c:pt idx="17">
                  <c:v>1.33</c:v>
                </c:pt>
                <c:pt idx="18">
                  <c:v>1.58</c:v>
                </c:pt>
                <c:pt idx="19">
                  <c:v>2.14</c:v>
                </c:pt>
                <c:pt idx="20">
                  <c:v>2.4900000000000002</c:v>
                </c:pt>
                <c:pt idx="21">
                  <c:v>2.93</c:v>
                </c:pt>
                <c:pt idx="22">
                  <c:v>3.69</c:v>
                </c:pt>
                <c:pt idx="23">
                  <c:v>3.69</c:v>
                </c:pt>
                <c:pt idx="24">
                  <c:v>3.73</c:v>
                </c:pt>
                <c:pt idx="25">
                  <c:v>3.9</c:v>
                </c:pt>
                <c:pt idx="26">
                  <c:v>4.7699999999999996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5E-40E7-8F10-699B9A404E9F}"/>
            </c:ext>
          </c:extLst>
        </c:ser>
        <c:ser>
          <c:idx val="3"/>
          <c:order val="1"/>
          <c:tx>
            <c:strRef>
              <c:f>'3'!$G$12</c:f>
              <c:strCache>
                <c:ptCount val="1"/>
                <c:pt idx="0">
                  <c:v>W std. dev. [um]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5"/>
          </c:marker>
          <c:xVal>
            <c:numRef>
              <c:f>'3'!$C$19:$C$45</c:f>
              <c:numCache>
                <c:formatCode>General</c:formatCode>
                <c:ptCount val="27"/>
                <c:pt idx="0">
                  <c:v>34.519999999999996</c:v>
                </c:pt>
                <c:pt idx="1">
                  <c:v>35.019999999999996</c:v>
                </c:pt>
                <c:pt idx="2">
                  <c:v>35.119999999999997</c:v>
                </c:pt>
                <c:pt idx="3">
                  <c:v>35.22</c:v>
                </c:pt>
                <c:pt idx="4">
                  <c:v>35.32</c:v>
                </c:pt>
                <c:pt idx="5">
                  <c:v>35.42</c:v>
                </c:pt>
                <c:pt idx="6">
                  <c:v>35.519999999999996</c:v>
                </c:pt>
                <c:pt idx="7">
                  <c:v>35.619999999999997</c:v>
                </c:pt>
                <c:pt idx="8">
                  <c:v>35.72</c:v>
                </c:pt>
                <c:pt idx="9">
                  <c:v>35.82</c:v>
                </c:pt>
                <c:pt idx="10">
                  <c:v>35.92</c:v>
                </c:pt>
                <c:pt idx="11">
                  <c:v>36.019999999999996</c:v>
                </c:pt>
                <c:pt idx="12">
                  <c:v>36.119999999999997</c:v>
                </c:pt>
                <c:pt idx="13">
                  <c:v>36.22</c:v>
                </c:pt>
                <c:pt idx="14">
                  <c:v>36.32</c:v>
                </c:pt>
                <c:pt idx="15">
                  <c:v>36.42</c:v>
                </c:pt>
                <c:pt idx="16">
                  <c:v>36.519999999999996</c:v>
                </c:pt>
                <c:pt idx="17">
                  <c:v>36.619999999999997</c:v>
                </c:pt>
                <c:pt idx="18">
                  <c:v>36.72</c:v>
                </c:pt>
                <c:pt idx="19">
                  <c:v>36.82</c:v>
                </c:pt>
                <c:pt idx="20">
                  <c:v>36.92</c:v>
                </c:pt>
                <c:pt idx="21">
                  <c:v>37.019999999999996</c:v>
                </c:pt>
                <c:pt idx="22">
                  <c:v>37.119999999999997</c:v>
                </c:pt>
                <c:pt idx="23">
                  <c:v>37.22</c:v>
                </c:pt>
                <c:pt idx="24">
                  <c:v>37.32</c:v>
                </c:pt>
                <c:pt idx="25">
                  <c:v>37.42</c:v>
                </c:pt>
                <c:pt idx="26">
                  <c:v>37.519999999999996</c:v>
                </c:pt>
              </c:numCache>
            </c:numRef>
          </c:xVal>
          <c:yVal>
            <c:numRef>
              <c:f>'3'!$G$19:$G$45</c:f>
              <c:numCache>
                <c:formatCode>General</c:formatCode>
                <c:ptCount val="27"/>
                <c:pt idx="0">
                  <c:v>4.54</c:v>
                </c:pt>
                <c:pt idx="1">
                  <c:v>3.89</c:v>
                </c:pt>
                <c:pt idx="2">
                  <c:v>5.35</c:v>
                </c:pt>
                <c:pt idx="3">
                  <c:v>5.21</c:v>
                </c:pt>
                <c:pt idx="4">
                  <c:v>3.97</c:v>
                </c:pt>
                <c:pt idx="5">
                  <c:v>5.1100000000000003</c:v>
                </c:pt>
                <c:pt idx="6">
                  <c:v>3.84</c:v>
                </c:pt>
                <c:pt idx="7">
                  <c:v>4.2</c:v>
                </c:pt>
                <c:pt idx="8">
                  <c:v>4.66</c:v>
                </c:pt>
                <c:pt idx="9">
                  <c:v>3.34</c:v>
                </c:pt>
                <c:pt idx="10">
                  <c:v>3.47</c:v>
                </c:pt>
                <c:pt idx="11">
                  <c:v>5.44</c:v>
                </c:pt>
                <c:pt idx="12">
                  <c:v>4.8</c:v>
                </c:pt>
                <c:pt idx="13">
                  <c:v>5.35</c:v>
                </c:pt>
                <c:pt idx="14">
                  <c:v>4.63</c:v>
                </c:pt>
                <c:pt idx="15">
                  <c:v>5.16</c:v>
                </c:pt>
                <c:pt idx="16">
                  <c:v>4</c:v>
                </c:pt>
                <c:pt idx="17">
                  <c:v>5.79</c:v>
                </c:pt>
                <c:pt idx="18">
                  <c:v>6.08</c:v>
                </c:pt>
                <c:pt idx="19">
                  <c:v>5.66</c:v>
                </c:pt>
                <c:pt idx="20">
                  <c:v>5.0199999999999996</c:v>
                </c:pt>
                <c:pt idx="21">
                  <c:v>5.2</c:v>
                </c:pt>
                <c:pt idx="22">
                  <c:v>5.61</c:v>
                </c:pt>
                <c:pt idx="23">
                  <c:v>5.95</c:v>
                </c:pt>
                <c:pt idx="24">
                  <c:v>7.99</c:v>
                </c:pt>
                <c:pt idx="25">
                  <c:v>5.21</c:v>
                </c:pt>
                <c:pt idx="26">
                  <c:v>4.84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5E-40E7-8F10-699B9A404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39808"/>
        <c:axId val="49641728"/>
      </c:scatterChart>
      <c:valAx>
        <c:axId val="49639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from source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641728"/>
        <c:crosses val="autoZero"/>
        <c:crossBetween val="midCat"/>
      </c:valAx>
      <c:valAx>
        <c:axId val="496417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Beam width st.d dev. [um]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6398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1504949</xdr:colOff>
      <xdr:row>9</xdr:row>
      <xdr:rowOff>100011</xdr:rowOff>
    </xdr:from>
    <xdr:to>
      <xdr:col>14</xdr:col>
      <xdr:colOff>990599</xdr:colOff>
      <xdr:row>30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1257300</xdr:colOff>
      <xdr:row>35</xdr:row>
      <xdr:rowOff>66675</xdr:rowOff>
    </xdr:from>
    <xdr:to>
      <xdr:col>14</xdr:col>
      <xdr:colOff>742950</xdr:colOff>
      <xdr:row>57</xdr:row>
      <xdr:rowOff>109538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1504949</xdr:colOff>
      <xdr:row>9</xdr:row>
      <xdr:rowOff>100011</xdr:rowOff>
    </xdr:from>
    <xdr:to>
      <xdr:col>14</xdr:col>
      <xdr:colOff>990599</xdr:colOff>
      <xdr:row>30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1257300</xdr:colOff>
      <xdr:row>35</xdr:row>
      <xdr:rowOff>66675</xdr:rowOff>
    </xdr:from>
    <xdr:to>
      <xdr:col>14</xdr:col>
      <xdr:colOff>742950</xdr:colOff>
      <xdr:row>57</xdr:row>
      <xdr:rowOff>109538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1504949</xdr:colOff>
      <xdr:row>9</xdr:row>
      <xdr:rowOff>100011</xdr:rowOff>
    </xdr:from>
    <xdr:to>
      <xdr:col>14</xdr:col>
      <xdr:colOff>990599</xdr:colOff>
      <xdr:row>30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1257300</xdr:colOff>
      <xdr:row>35</xdr:row>
      <xdr:rowOff>66675</xdr:rowOff>
    </xdr:from>
    <xdr:to>
      <xdr:col>14</xdr:col>
      <xdr:colOff>742950</xdr:colOff>
      <xdr:row>57</xdr:row>
      <xdr:rowOff>109538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1504949</xdr:colOff>
      <xdr:row>9</xdr:row>
      <xdr:rowOff>100011</xdr:rowOff>
    </xdr:from>
    <xdr:to>
      <xdr:col>14</xdr:col>
      <xdr:colOff>990599</xdr:colOff>
      <xdr:row>30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1257300</xdr:colOff>
      <xdr:row>35</xdr:row>
      <xdr:rowOff>66675</xdr:rowOff>
    </xdr:from>
    <xdr:to>
      <xdr:col>14</xdr:col>
      <xdr:colOff>742950</xdr:colOff>
      <xdr:row>57</xdr:row>
      <xdr:rowOff>109538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1504949</xdr:colOff>
      <xdr:row>9</xdr:row>
      <xdr:rowOff>100011</xdr:rowOff>
    </xdr:from>
    <xdr:to>
      <xdr:col>14</xdr:col>
      <xdr:colOff>990599</xdr:colOff>
      <xdr:row>36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1257300</xdr:colOff>
      <xdr:row>41</xdr:row>
      <xdr:rowOff>66675</xdr:rowOff>
    </xdr:from>
    <xdr:to>
      <xdr:col>14</xdr:col>
      <xdr:colOff>742950</xdr:colOff>
      <xdr:row>63</xdr:row>
      <xdr:rowOff>109538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"/>
  <sheetViews>
    <sheetView topLeftCell="A7" workbookViewId="0">
      <selection activeCell="B9" sqref="B9:G9"/>
    </sheetView>
  </sheetViews>
  <sheetFormatPr defaultColWidth="17.109375" defaultRowHeight="12.75" customHeight="1" x14ac:dyDescent="0.25"/>
  <cols>
    <col min="1" max="1" width="15.109375" bestFit="1" customWidth="1"/>
    <col min="2" max="2" width="9.44140625" bestFit="1" customWidth="1"/>
    <col min="3" max="3" width="8.6640625" bestFit="1" customWidth="1"/>
    <col min="4" max="4" width="17" bestFit="1" customWidth="1"/>
    <col min="5" max="5" width="15.109375" bestFit="1" customWidth="1"/>
    <col min="6" max="6" width="17.6640625" bestFit="1" customWidth="1"/>
    <col min="7" max="7" width="15.109375" bestFit="1" customWidth="1"/>
    <col min="8" max="8" width="15" bestFit="1" customWidth="1"/>
    <col min="9" max="10" width="15" customWidth="1"/>
    <col min="11" max="11" width="15.5546875" bestFit="1" customWidth="1"/>
    <col min="12" max="13" width="8.109375" customWidth="1"/>
    <col min="14" max="14" width="93.88671875" bestFit="1" customWidth="1"/>
  </cols>
  <sheetData>
    <row r="1" spans="1:14" ht="13.2" x14ac:dyDescent="0.25">
      <c r="A1" s="4" t="s">
        <v>0</v>
      </c>
      <c r="B1" s="22">
        <v>42242</v>
      </c>
      <c r="C1" s="22"/>
      <c r="D1" s="22"/>
      <c r="E1" s="2"/>
      <c r="F1" s="3"/>
      <c r="G1" s="3"/>
    </row>
    <row r="2" spans="1:14" ht="13.2" x14ac:dyDescent="0.25">
      <c r="A2" s="4" t="s">
        <v>17</v>
      </c>
      <c r="B2" s="23" t="s">
        <v>18</v>
      </c>
      <c r="C2" s="23"/>
      <c r="D2" s="23"/>
      <c r="E2" s="3"/>
      <c r="F2" s="3"/>
      <c r="G2" s="3"/>
    </row>
    <row r="3" spans="1:14" ht="13.2" x14ac:dyDescent="0.25">
      <c r="A3" s="4" t="s">
        <v>1</v>
      </c>
      <c r="B3" s="23" t="s">
        <v>19</v>
      </c>
      <c r="C3" s="24"/>
      <c r="D3" s="24"/>
      <c r="E3" s="3"/>
      <c r="F3" s="3"/>
      <c r="G3" s="3"/>
    </row>
    <row r="4" spans="1:14" ht="13.2" x14ac:dyDescent="0.25">
      <c r="A4" s="4" t="s">
        <v>3</v>
      </c>
      <c r="B4" s="7">
        <v>1064</v>
      </c>
      <c r="E4" s="3"/>
      <c r="F4" s="3"/>
      <c r="G4" s="3"/>
    </row>
    <row r="5" spans="1:14" ht="13.2" x14ac:dyDescent="0.25">
      <c r="A5" s="4" t="s">
        <v>10</v>
      </c>
      <c r="B5" s="6" t="s">
        <v>22</v>
      </c>
      <c r="E5" s="3"/>
      <c r="F5" s="3"/>
      <c r="G5" s="3"/>
    </row>
    <row r="6" spans="1:14" ht="26.4" x14ac:dyDescent="0.25">
      <c r="A6" s="4" t="s">
        <v>20</v>
      </c>
      <c r="B6" s="8" t="s">
        <v>29</v>
      </c>
      <c r="E6" s="3"/>
      <c r="F6" s="3"/>
      <c r="G6" s="3"/>
    </row>
    <row r="7" spans="1:14" ht="13.2" x14ac:dyDescent="0.25">
      <c r="A7" s="4" t="s">
        <v>15</v>
      </c>
      <c r="B7" s="6" t="s">
        <v>16</v>
      </c>
      <c r="E7" s="3"/>
      <c r="F7" s="3"/>
      <c r="G7" s="3"/>
    </row>
    <row r="8" spans="1:14" ht="26.4" x14ac:dyDescent="0.25">
      <c r="A8" s="4" t="s">
        <v>21</v>
      </c>
      <c r="B8" s="6">
        <v>90</v>
      </c>
      <c r="E8" s="3"/>
      <c r="F8" s="3"/>
      <c r="G8" s="3"/>
    </row>
    <row r="9" spans="1:14" ht="117.75" customHeight="1" x14ac:dyDescent="0.25">
      <c r="A9" s="4" t="s">
        <v>2</v>
      </c>
      <c r="B9" s="23" t="s">
        <v>39</v>
      </c>
      <c r="C9" s="24"/>
      <c r="D9" s="24"/>
      <c r="E9" s="24"/>
      <c r="F9" s="24"/>
      <c r="G9" s="24"/>
    </row>
    <row r="10" spans="1:14" ht="13.2" x14ac:dyDescent="0.25">
      <c r="A10" s="1"/>
    </row>
    <row r="11" spans="1:14" ht="13.2" x14ac:dyDescent="0.25">
      <c r="A11" s="1"/>
      <c r="B11" s="20" t="s">
        <v>7</v>
      </c>
      <c r="C11" s="20"/>
      <c r="D11" s="20" t="s">
        <v>6</v>
      </c>
      <c r="E11" s="20"/>
      <c r="F11" s="20"/>
      <c r="G11" s="20"/>
      <c r="H11" s="20" t="s">
        <v>5</v>
      </c>
      <c r="I11" s="20"/>
      <c r="J11" s="20"/>
      <c r="K11" s="20"/>
      <c r="L11" s="5"/>
      <c r="M11" s="5"/>
    </row>
    <row r="12" spans="1:14" ht="26.4" x14ac:dyDescent="0.25">
      <c r="A12" s="4" t="s">
        <v>4</v>
      </c>
      <c r="B12" s="4" t="s">
        <v>11</v>
      </c>
      <c r="C12" s="4" t="s">
        <v>12</v>
      </c>
      <c r="D12" s="4" t="s">
        <v>23</v>
      </c>
      <c r="E12" s="4" t="s">
        <v>25</v>
      </c>
      <c r="F12" s="4" t="s">
        <v>24</v>
      </c>
      <c r="G12" s="4" t="s">
        <v>26</v>
      </c>
      <c r="H12" s="4" t="s">
        <v>13</v>
      </c>
      <c r="I12" s="4" t="s">
        <v>27</v>
      </c>
      <c r="J12" s="4" t="s">
        <v>14</v>
      </c>
      <c r="K12" s="4" t="s">
        <v>28</v>
      </c>
      <c r="L12" s="4" t="s">
        <v>8</v>
      </c>
      <c r="M12" s="4" t="s">
        <v>9</v>
      </c>
      <c r="N12" s="4" t="s">
        <v>2</v>
      </c>
    </row>
    <row r="13" spans="1:14" ht="12.75" customHeight="1" x14ac:dyDescent="0.25">
      <c r="A13">
        <v>50</v>
      </c>
      <c r="B13" s="1">
        <f>A13+(9)+(-57+7.2)</f>
        <v>9.2000000000000028</v>
      </c>
      <c r="C13" s="1">
        <f t="shared" ref="C13" si="0">B13/10</f>
        <v>0.92000000000000026</v>
      </c>
      <c r="D13">
        <v>1155.81</v>
      </c>
      <c r="E13">
        <v>3.44</v>
      </c>
      <c r="F13">
        <v>982.69</v>
      </c>
      <c r="G13">
        <v>3.73</v>
      </c>
      <c r="H13" s="1">
        <v>-422.11</v>
      </c>
      <c r="I13" s="1">
        <v>3.83</v>
      </c>
      <c r="J13">
        <v>118.9</v>
      </c>
      <c r="K13">
        <v>2.69</v>
      </c>
      <c r="L13" s="1">
        <f t="shared" ref="L13" si="1">D13/F13</f>
        <v>1.1761694939401031</v>
      </c>
      <c r="M13" s="1">
        <f t="shared" ref="M13" si="2">F13/D13</f>
        <v>0.85021759631773397</v>
      </c>
      <c r="N13" s="1"/>
    </row>
    <row r="14" spans="1:14" ht="12.75" customHeight="1" x14ac:dyDescent="0.25">
      <c r="A14">
        <v>70</v>
      </c>
      <c r="B14" s="1">
        <f t="shared" ref="B14:B37" si="3">A14+(9)+(-57+7.2)</f>
        <v>29.200000000000003</v>
      </c>
      <c r="C14" s="1">
        <f t="shared" ref="C14:C28" si="4">B14/10</f>
        <v>2.9200000000000004</v>
      </c>
      <c r="D14">
        <v>1154.53</v>
      </c>
      <c r="E14">
        <v>4.25</v>
      </c>
      <c r="F14">
        <v>977.81</v>
      </c>
      <c r="G14">
        <v>3.42</v>
      </c>
      <c r="H14" s="1">
        <v>-406.34</v>
      </c>
      <c r="I14" s="1">
        <v>3.34</v>
      </c>
      <c r="J14">
        <v>94.54</v>
      </c>
      <c r="K14">
        <v>2.88</v>
      </c>
      <c r="L14" s="1">
        <f t="shared" ref="L14:L37" si="5">D14/F14</f>
        <v>1.1807304077479266</v>
      </c>
      <c r="M14" s="1">
        <f t="shared" ref="M14:M37" si="6">F14/D14</f>
        <v>0.84693338414766184</v>
      </c>
      <c r="N14" s="1"/>
    </row>
    <row r="15" spans="1:14" ht="12.75" customHeight="1" x14ac:dyDescent="0.25">
      <c r="A15">
        <v>90</v>
      </c>
      <c r="B15" s="1">
        <f t="shared" si="3"/>
        <v>49.2</v>
      </c>
      <c r="C15" s="1">
        <f t="shared" si="4"/>
        <v>4.92</v>
      </c>
      <c r="D15">
        <v>1152.21</v>
      </c>
      <c r="E15">
        <v>3.18</v>
      </c>
      <c r="F15">
        <v>973.76</v>
      </c>
      <c r="G15">
        <v>3.18</v>
      </c>
      <c r="H15" s="1">
        <v>-399.46</v>
      </c>
      <c r="I15" s="1">
        <v>3.86</v>
      </c>
      <c r="J15" s="1">
        <v>77.64</v>
      </c>
      <c r="K15">
        <v>2.84</v>
      </c>
      <c r="L15" s="1">
        <f t="shared" si="5"/>
        <v>1.1832587085113375</v>
      </c>
      <c r="M15" s="1">
        <f t="shared" si="6"/>
        <v>0.84512371876654424</v>
      </c>
      <c r="N15" s="1"/>
    </row>
    <row r="16" spans="1:14" ht="12.75" customHeight="1" x14ac:dyDescent="0.25">
      <c r="A16">
        <v>110</v>
      </c>
      <c r="B16" s="1">
        <f t="shared" si="3"/>
        <v>69.2</v>
      </c>
      <c r="C16" s="1">
        <f t="shared" si="4"/>
        <v>6.92</v>
      </c>
      <c r="D16">
        <v>1152.28</v>
      </c>
      <c r="E16">
        <v>4.5199999999999996</v>
      </c>
      <c r="F16">
        <v>968.66</v>
      </c>
      <c r="G16">
        <v>4.3099999999999996</v>
      </c>
      <c r="H16" s="1">
        <v>-388.9</v>
      </c>
      <c r="I16" s="1">
        <v>3.87</v>
      </c>
      <c r="J16">
        <v>53.56</v>
      </c>
      <c r="K16">
        <v>2.74</v>
      </c>
      <c r="L16" s="1">
        <f t="shared" si="5"/>
        <v>1.1895608366196602</v>
      </c>
      <c r="M16" s="1">
        <f t="shared" si="6"/>
        <v>0.84064637067379455</v>
      </c>
      <c r="N16" s="1"/>
    </row>
    <row r="17" spans="1:14" ht="12.75" customHeight="1" x14ac:dyDescent="0.25">
      <c r="A17">
        <v>130</v>
      </c>
      <c r="B17" s="1">
        <f t="shared" si="3"/>
        <v>89.2</v>
      </c>
      <c r="C17" s="1">
        <f t="shared" si="4"/>
        <v>8.92</v>
      </c>
      <c r="D17">
        <v>1151.8900000000001</v>
      </c>
      <c r="E17">
        <v>4.0999999999999996</v>
      </c>
      <c r="F17">
        <v>966.8</v>
      </c>
      <c r="G17">
        <v>3.34</v>
      </c>
      <c r="H17" s="1">
        <v>-388.98</v>
      </c>
      <c r="I17" s="1">
        <v>4.09</v>
      </c>
      <c r="J17">
        <v>28.65</v>
      </c>
      <c r="K17">
        <v>3.16</v>
      </c>
      <c r="L17" s="1">
        <f t="shared" si="5"/>
        <v>1.1914460074472488</v>
      </c>
      <c r="M17" s="1">
        <f t="shared" si="6"/>
        <v>0.83931625415621269</v>
      </c>
      <c r="N17" s="1"/>
    </row>
    <row r="18" spans="1:14" ht="12.75" customHeight="1" x14ac:dyDescent="0.25">
      <c r="A18">
        <v>150</v>
      </c>
      <c r="B18" s="1">
        <f t="shared" si="3"/>
        <v>109.2</v>
      </c>
      <c r="C18" s="1">
        <f t="shared" si="4"/>
        <v>10.92</v>
      </c>
      <c r="D18">
        <v>1151.8399999999999</v>
      </c>
      <c r="E18">
        <v>3.46</v>
      </c>
      <c r="F18">
        <v>963.76</v>
      </c>
      <c r="G18">
        <v>3.71</v>
      </c>
      <c r="H18" s="1">
        <v>-384.45</v>
      </c>
      <c r="I18" s="1">
        <v>4.01</v>
      </c>
      <c r="J18">
        <v>22.49</v>
      </c>
      <c r="K18">
        <v>2.61</v>
      </c>
      <c r="L18" s="1">
        <f t="shared" si="5"/>
        <v>1.1951523200796879</v>
      </c>
      <c r="M18" s="1">
        <f t="shared" si="6"/>
        <v>0.83671343242116969</v>
      </c>
      <c r="N18" s="1"/>
    </row>
    <row r="19" spans="1:14" ht="12.75" customHeight="1" x14ac:dyDescent="0.25">
      <c r="A19">
        <v>170</v>
      </c>
      <c r="B19" s="1">
        <f t="shared" si="3"/>
        <v>129.19999999999999</v>
      </c>
      <c r="C19" s="1">
        <f t="shared" si="4"/>
        <v>12.919999999999998</v>
      </c>
      <c r="D19">
        <v>1150.9100000000001</v>
      </c>
      <c r="E19">
        <v>4</v>
      </c>
      <c r="F19">
        <v>959.55</v>
      </c>
      <c r="G19">
        <v>2.62</v>
      </c>
      <c r="H19" s="1">
        <v>-372.04</v>
      </c>
      <c r="I19" s="1">
        <v>3.64</v>
      </c>
      <c r="J19">
        <v>-11.63</v>
      </c>
      <c r="K19">
        <v>2.4300000000000002</v>
      </c>
      <c r="L19" s="1">
        <f t="shared" si="5"/>
        <v>1.1994268146527018</v>
      </c>
      <c r="M19" s="1">
        <f t="shared" si="6"/>
        <v>0.83373156893240996</v>
      </c>
      <c r="N19" s="1"/>
    </row>
    <row r="20" spans="1:14" ht="12.75" customHeight="1" x14ac:dyDescent="0.25">
      <c r="A20">
        <v>190</v>
      </c>
      <c r="B20" s="1">
        <f t="shared" si="3"/>
        <v>149.19999999999999</v>
      </c>
      <c r="C20" s="1">
        <f t="shared" si="4"/>
        <v>14.919999999999998</v>
      </c>
      <c r="D20">
        <v>1152.3699999999999</v>
      </c>
      <c r="E20">
        <v>4.2300000000000004</v>
      </c>
      <c r="F20">
        <v>957.85</v>
      </c>
      <c r="G20">
        <v>2.71</v>
      </c>
      <c r="H20" s="1">
        <v>-374.05</v>
      </c>
      <c r="I20" s="1">
        <v>3.42</v>
      </c>
      <c r="J20">
        <v>15.39</v>
      </c>
      <c r="K20">
        <v>3.1</v>
      </c>
      <c r="L20" s="1">
        <f t="shared" si="5"/>
        <v>1.203079814167145</v>
      </c>
      <c r="M20" s="1">
        <f t="shared" si="6"/>
        <v>0.83120004859550323</v>
      </c>
      <c r="N20" s="1"/>
    </row>
    <row r="21" spans="1:14" ht="12.75" customHeight="1" x14ac:dyDescent="0.25">
      <c r="A21">
        <v>210</v>
      </c>
      <c r="B21" s="1">
        <f t="shared" si="3"/>
        <v>169.2</v>
      </c>
      <c r="C21" s="1">
        <f t="shared" si="4"/>
        <v>16.919999999999998</v>
      </c>
      <c r="D21">
        <v>1151.5999999999999</v>
      </c>
      <c r="E21">
        <v>4.03</v>
      </c>
      <c r="F21">
        <v>956.27</v>
      </c>
      <c r="G21">
        <v>3.08</v>
      </c>
      <c r="H21">
        <v>-368.67</v>
      </c>
      <c r="I21">
        <v>3.47</v>
      </c>
      <c r="J21" s="1">
        <v>17.559999999999999</v>
      </c>
      <c r="K21">
        <v>2.71</v>
      </c>
      <c r="L21" s="1">
        <f t="shared" si="5"/>
        <v>1.2042623945120101</v>
      </c>
      <c r="M21" s="1">
        <f t="shared" si="6"/>
        <v>0.83038381382424453</v>
      </c>
      <c r="N21" s="1"/>
    </row>
    <row r="22" spans="1:14" ht="12.75" customHeight="1" x14ac:dyDescent="0.25">
      <c r="A22">
        <v>230</v>
      </c>
      <c r="B22" s="1">
        <f t="shared" si="3"/>
        <v>189.2</v>
      </c>
      <c r="C22" s="1">
        <f t="shared" si="4"/>
        <v>18.919999999999998</v>
      </c>
      <c r="D22">
        <v>1151.1600000000001</v>
      </c>
      <c r="E22">
        <v>3.39</v>
      </c>
      <c r="F22">
        <v>957.13</v>
      </c>
      <c r="G22">
        <v>2.89</v>
      </c>
      <c r="H22">
        <v>-357.05</v>
      </c>
      <c r="I22">
        <v>3.67</v>
      </c>
      <c r="J22">
        <v>18.61</v>
      </c>
      <c r="K22">
        <v>3.19</v>
      </c>
      <c r="L22" s="1">
        <f t="shared" si="5"/>
        <v>1.2027206335607494</v>
      </c>
      <c r="M22" s="1">
        <f t="shared" si="6"/>
        <v>0.83144827825845224</v>
      </c>
      <c r="N22" s="1"/>
    </row>
    <row r="23" spans="1:14" ht="12.75" customHeight="1" x14ac:dyDescent="0.25">
      <c r="A23">
        <v>250</v>
      </c>
      <c r="B23" s="1">
        <f t="shared" si="3"/>
        <v>209.2</v>
      </c>
      <c r="C23" s="1">
        <f t="shared" si="4"/>
        <v>20.919999999999998</v>
      </c>
      <c r="D23">
        <v>1151.7</v>
      </c>
      <c r="E23" s="1">
        <v>4.54</v>
      </c>
      <c r="F23">
        <v>954.8</v>
      </c>
      <c r="G23">
        <v>3.02</v>
      </c>
      <c r="H23">
        <v>-352.03</v>
      </c>
      <c r="I23">
        <v>3.8</v>
      </c>
      <c r="J23">
        <v>8.81</v>
      </c>
      <c r="K23">
        <v>2.41</v>
      </c>
      <c r="L23" s="1">
        <f t="shared" si="5"/>
        <v>1.2062211981566822</v>
      </c>
      <c r="M23" s="1">
        <f t="shared" si="6"/>
        <v>0.82903533906399229</v>
      </c>
      <c r="N23" s="1"/>
    </row>
    <row r="24" spans="1:14" ht="12.75" customHeight="1" x14ac:dyDescent="0.25">
      <c r="A24">
        <v>270</v>
      </c>
      <c r="B24" s="1">
        <f t="shared" si="3"/>
        <v>229.2</v>
      </c>
      <c r="C24" s="1">
        <f t="shared" si="4"/>
        <v>22.919999999999998</v>
      </c>
      <c r="D24">
        <v>1151.78</v>
      </c>
      <c r="E24">
        <v>3.34</v>
      </c>
      <c r="F24">
        <v>953.84</v>
      </c>
      <c r="G24">
        <v>3.14</v>
      </c>
      <c r="H24">
        <v>-341.09</v>
      </c>
      <c r="I24">
        <v>3.16</v>
      </c>
      <c r="J24">
        <v>-12.7</v>
      </c>
      <c r="K24">
        <v>2.99</v>
      </c>
      <c r="L24">
        <f t="shared" si="5"/>
        <v>1.207519080768263</v>
      </c>
      <c r="M24">
        <f t="shared" si="6"/>
        <v>0.82814426366146321</v>
      </c>
      <c r="N24" s="1"/>
    </row>
    <row r="25" spans="1:14" ht="12.75" customHeight="1" x14ac:dyDescent="0.25">
      <c r="A25">
        <v>290</v>
      </c>
      <c r="B25" s="1">
        <f t="shared" si="3"/>
        <v>249.2</v>
      </c>
      <c r="C25" s="1">
        <f t="shared" si="4"/>
        <v>24.919999999999998</v>
      </c>
      <c r="D25">
        <v>1150.08</v>
      </c>
      <c r="E25">
        <v>3.65</v>
      </c>
      <c r="F25">
        <v>956.35</v>
      </c>
      <c r="G25">
        <v>3.17</v>
      </c>
      <c r="H25">
        <v>-327.52999999999997</v>
      </c>
      <c r="I25">
        <v>3.9</v>
      </c>
      <c r="J25">
        <v>-39.630000000000003</v>
      </c>
      <c r="K25">
        <v>2.84</v>
      </c>
      <c r="L25">
        <f t="shared" si="5"/>
        <v>1.2025722800230041</v>
      </c>
      <c r="M25">
        <f t="shared" si="6"/>
        <v>0.83155084863661666</v>
      </c>
      <c r="N25" s="1"/>
    </row>
    <row r="26" spans="1:14" ht="12.75" customHeight="1" x14ac:dyDescent="0.25">
      <c r="A26">
        <v>310</v>
      </c>
      <c r="B26" s="1">
        <f t="shared" si="3"/>
        <v>269.2</v>
      </c>
      <c r="C26" s="1">
        <f t="shared" si="4"/>
        <v>26.919999999999998</v>
      </c>
      <c r="D26">
        <v>1152.03</v>
      </c>
      <c r="E26">
        <v>3.4</v>
      </c>
      <c r="F26">
        <v>955.14</v>
      </c>
      <c r="G26">
        <v>2.83</v>
      </c>
      <c r="H26">
        <v>-321.39</v>
      </c>
      <c r="I26">
        <v>3.43</v>
      </c>
      <c r="J26">
        <v>-43.6</v>
      </c>
      <c r="K26">
        <v>3.09</v>
      </c>
      <c r="L26">
        <f t="shared" si="5"/>
        <v>1.2061373201834287</v>
      </c>
      <c r="M26">
        <f t="shared" si="6"/>
        <v>0.82909299236999034</v>
      </c>
      <c r="N26" s="1"/>
    </row>
    <row r="27" spans="1:14" ht="12.75" customHeight="1" x14ac:dyDescent="0.25">
      <c r="A27">
        <v>330</v>
      </c>
      <c r="B27" s="1">
        <f t="shared" si="3"/>
        <v>289.2</v>
      </c>
      <c r="C27" s="1">
        <f t="shared" si="4"/>
        <v>28.919999999999998</v>
      </c>
      <c r="D27">
        <v>1154.51</v>
      </c>
      <c r="E27">
        <v>3.91</v>
      </c>
      <c r="F27">
        <v>957.01</v>
      </c>
      <c r="G27">
        <v>3.61</v>
      </c>
      <c r="H27">
        <v>-314.94</v>
      </c>
      <c r="I27">
        <v>3.53</v>
      </c>
      <c r="J27">
        <v>-50.75</v>
      </c>
      <c r="K27">
        <v>2.62</v>
      </c>
      <c r="L27">
        <f t="shared" si="5"/>
        <v>1.2063719292379389</v>
      </c>
      <c r="M27">
        <f t="shared" si="6"/>
        <v>0.82893175459718837</v>
      </c>
      <c r="N27" s="1"/>
    </row>
    <row r="28" spans="1:14" ht="12.75" customHeight="1" x14ac:dyDescent="0.25">
      <c r="A28">
        <v>350</v>
      </c>
      <c r="B28" s="1">
        <f t="shared" si="3"/>
        <v>309.2</v>
      </c>
      <c r="C28" s="1">
        <f t="shared" si="4"/>
        <v>30.919999999999998</v>
      </c>
      <c r="D28">
        <v>1157.6500000000001</v>
      </c>
      <c r="E28">
        <v>4.03</v>
      </c>
      <c r="F28">
        <v>958.86</v>
      </c>
      <c r="G28">
        <v>3.48</v>
      </c>
      <c r="H28">
        <v>-303.56</v>
      </c>
      <c r="I28">
        <v>3.46</v>
      </c>
      <c r="J28">
        <v>-48.63</v>
      </c>
      <c r="K28">
        <v>2.52</v>
      </c>
      <c r="L28">
        <f t="shared" si="5"/>
        <v>1.2073191081075445</v>
      </c>
      <c r="M28">
        <f t="shared" si="6"/>
        <v>0.82828143221180839</v>
      </c>
    </row>
    <row r="29" spans="1:14" ht="12.75" customHeight="1" x14ac:dyDescent="0.25">
      <c r="A29">
        <v>370</v>
      </c>
      <c r="B29" s="1">
        <f t="shared" si="3"/>
        <v>329.2</v>
      </c>
      <c r="C29" s="1">
        <f t="shared" ref="C29:C37" si="7">B29/10</f>
        <v>32.92</v>
      </c>
      <c r="D29">
        <v>1161.1400000000001</v>
      </c>
      <c r="E29">
        <v>4.5</v>
      </c>
      <c r="F29">
        <v>963.29</v>
      </c>
      <c r="G29">
        <v>4.1100000000000003</v>
      </c>
      <c r="H29">
        <v>-304.06</v>
      </c>
      <c r="I29">
        <v>4.22</v>
      </c>
      <c r="J29">
        <v>-39.01</v>
      </c>
      <c r="K29">
        <v>2.72</v>
      </c>
      <c r="L29">
        <f t="shared" si="5"/>
        <v>1.2053898618276948</v>
      </c>
      <c r="M29">
        <f t="shared" si="6"/>
        <v>0.82960711025371603</v>
      </c>
    </row>
    <row r="30" spans="1:14" ht="12.75" customHeight="1" x14ac:dyDescent="0.25">
      <c r="A30">
        <v>390</v>
      </c>
      <c r="B30" s="1">
        <f t="shared" si="3"/>
        <v>349.2</v>
      </c>
      <c r="C30" s="1">
        <f t="shared" si="7"/>
        <v>34.92</v>
      </c>
      <c r="D30">
        <v>1163.8</v>
      </c>
      <c r="E30">
        <v>3.13</v>
      </c>
      <c r="F30">
        <v>967.39</v>
      </c>
      <c r="G30">
        <v>3.28</v>
      </c>
      <c r="H30">
        <v>-302.02</v>
      </c>
      <c r="I30">
        <v>3.32</v>
      </c>
      <c r="J30">
        <v>-30.2</v>
      </c>
      <c r="K30">
        <v>2.88</v>
      </c>
      <c r="L30">
        <f t="shared" si="5"/>
        <v>1.2030308355471939</v>
      </c>
      <c r="M30">
        <f t="shared" si="6"/>
        <v>0.83123388898436157</v>
      </c>
    </row>
    <row r="31" spans="1:14" ht="12.75" customHeight="1" x14ac:dyDescent="0.25">
      <c r="A31">
        <v>410</v>
      </c>
      <c r="B31" s="1">
        <f t="shared" si="3"/>
        <v>369.2</v>
      </c>
      <c r="C31" s="1">
        <f t="shared" si="7"/>
        <v>36.92</v>
      </c>
      <c r="D31">
        <v>1168.29</v>
      </c>
      <c r="E31">
        <v>4.66</v>
      </c>
      <c r="F31">
        <v>971.68</v>
      </c>
      <c r="G31">
        <v>4.16</v>
      </c>
      <c r="H31">
        <v>-296.57</v>
      </c>
      <c r="I31">
        <v>3.99</v>
      </c>
      <c r="J31">
        <v>-42.91</v>
      </c>
      <c r="K31">
        <v>2.7</v>
      </c>
      <c r="L31">
        <f t="shared" si="5"/>
        <v>1.202340276634283</v>
      </c>
      <c r="M31">
        <f t="shared" si="6"/>
        <v>0.83171130455623177</v>
      </c>
    </row>
    <row r="32" spans="1:14" ht="12.75" customHeight="1" x14ac:dyDescent="0.25">
      <c r="A32">
        <v>430</v>
      </c>
      <c r="B32" s="1">
        <f t="shared" si="3"/>
        <v>389.2</v>
      </c>
      <c r="C32" s="1">
        <f t="shared" si="7"/>
        <v>38.92</v>
      </c>
      <c r="D32">
        <v>1172.01</v>
      </c>
      <c r="E32">
        <v>4.28</v>
      </c>
      <c r="F32">
        <v>973.31</v>
      </c>
      <c r="G32">
        <v>4.17</v>
      </c>
      <c r="H32">
        <v>-298.57</v>
      </c>
      <c r="I32">
        <v>3.8</v>
      </c>
      <c r="J32">
        <v>-45.55</v>
      </c>
      <c r="K32">
        <v>2.84</v>
      </c>
      <c r="L32">
        <f t="shared" si="5"/>
        <v>1.2041487295928328</v>
      </c>
      <c r="M32">
        <f t="shared" si="6"/>
        <v>0.83046219742152372</v>
      </c>
    </row>
    <row r="33" spans="1:22" ht="12.75" customHeight="1" x14ac:dyDescent="0.25">
      <c r="A33">
        <v>450</v>
      </c>
      <c r="B33" s="1">
        <f t="shared" si="3"/>
        <v>409.2</v>
      </c>
      <c r="C33" s="1">
        <f t="shared" si="7"/>
        <v>40.92</v>
      </c>
      <c r="D33">
        <v>1173.96</v>
      </c>
      <c r="E33">
        <v>4.08</v>
      </c>
      <c r="F33">
        <v>978.15</v>
      </c>
      <c r="G33">
        <v>3.57</v>
      </c>
      <c r="H33">
        <v>-278.14999999999998</v>
      </c>
      <c r="I33">
        <v>3.73</v>
      </c>
      <c r="J33">
        <v>-85.86</v>
      </c>
      <c r="K33">
        <v>3.74</v>
      </c>
      <c r="L33">
        <f t="shared" si="5"/>
        <v>1.2001840208556971</v>
      </c>
      <c r="M33">
        <f t="shared" si="6"/>
        <v>0.83320556066646223</v>
      </c>
    </row>
    <row r="34" spans="1:22" ht="12.75" customHeight="1" x14ac:dyDescent="0.25">
      <c r="A34">
        <v>470</v>
      </c>
      <c r="B34" s="1">
        <f t="shared" si="3"/>
        <v>429.2</v>
      </c>
      <c r="C34" s="1">
        <f t="shared" si="7"/>
        <v>42.92</v>
      </c>
      <c r="D34">
        <v>1175.56</v>
      </c>
      <c r="E34">
        <v>4.1399999999999997</v>
      </c>
      <c r="F34">
        <v>983.7</v>
      </c>
      <c r="G34">
        <v>3.8</v>
      </c>
      <c r="H34">
        <v>-270.98</v>
      </c>
      <c r="I34">
        <v>4</v>
      </c>
      <c r="J34">
        <v>-101.23</v>
      </c>
      <c r="K34">
        <v>3.6</v>
      </c>
      <c r="L34">
        <f t="shared" si="5"/>
        <v>1.1950391379485614</v>
      </c>
      <c r="M34">
        <f t="shared" si="6"/>
        <v>0.83679267753241016</v>
      </c>
    </row>
    <row r="35" spans="1:22" ht="12.75" customHeight="1" x14ac:dyDescent="0.25">
      <c r="A35">
        <v>490</v>
      </c>
      <c r="B35" s="1">
        <f t="shared" si="3"/>
        <v>449.2</v>
      </c>
      <c r="C35" s="1">
        <f t="shared" si="7"/>
        <v>44.92</v>
      </c>
      <c r="D35">
        <v>1181.29</v>
      </c>
      <c r="E35">
        <v>4.46</v>
      </c>
      <c r="F35">
        <v>990.1</v>
      </c>
      <c r="G35">
        <v>4.0599999999999996</v>
      </c>
      <c r="H35" s="1">
        <v>-262.56</v>
      </c>
      <c r="I35" s="1">
        <v>3.77</v>
      </c>
      <c r="J35">
        <v>95.54</v>
      </c>
      <c r="K35">
        <v>2.5299999999999998</v>
      </c>
      <c r="L35">
        <f t="shared" si="5"/>
        <v>1.193101706898293</v>
      </c>
      <c r="M35">
        <f t="shared" si="6"/>
        <v>0.83815151232974128</v>
      </c>
    </row>
    <row r="36" spans="1:22" ht="12.75" customHeight="1" x14ac:dyDescent="0.25">
      <c r="A36">
        <v>510</v>
      </c>
      <c r="B36" s="1">
        <f t="shared" si="3"/>
        <v>469.2</v>
      </c>
      <c r="C36" s="1">
        <f t="shared" si="7"/>
        <v>46.92</v>
      </c>
      <c r="D36">
        <v>1187.1500000000001</v>
      </c>
      <c r="E36">
        <v>3.98</v>
      </c>
      <c r="F36">
        <v>994.58</v>
      </c>
      <c r="G36">
        <v>3.44</v>
      </c>
      <c r="H36">
        <v>-262.91000000000003</v>
      </c>
      <c r="I36">
        <v>3.94</v>
      </c>
      <c r="J36">
        <v>-89.34</v>
      </c>
      <c r="K36">
        <v>3.32</v>
      </c>
      <c r="L36">
        <f t="shared" si="5"/>
        <v>1.1936194172414487</v>
      </c>
      <c r="M36">
        <f t="shared" si="6"/>
        <v>0.83778797961504436</v>
      </c>
    </row>
    <row r="37" spans="1:22" ht="12.75" customHeight="1" x14ac:dyDescent="0.25">
      <c r="A37">
        <v>530</v>
      </c>
      <c r="B37" s="1">
        <f t="shared" si="3"/>
        <v>489.2</v>
      </c>
      <c r="C37" s="1">
        <f t="shared" si="7"/>
        <v>48.92</v>
      </c>
      <c r="D37">
        <v>1193.53</v>
      </c>
      <c r="E37">
        <v>4.2</v>
      </c>
      <c r="F37">
        <v>1002.69</v>
      </c>
      <c r="G37">
        <v>3.76</v>
      </c>
      <c r="H37">
        <v>-250.2</v>
      </c>
      <c r="I37">
        <v>3.62</v>
      </c>
      <c r="J37">
        <v>-78.010000000000005</v>
      </c>
      <c r="K37">
        <v>2.67</v>
      </c>
      <c r="L37">
        <f t="shared" si="5"/>
        <v>1.1903280176325683</v>
      </c>
      <c r="M37">
        <f t="shared" si="6"/>
        <v>0.84010456377300957</v>
      </c>
      <c r="V37" s="1"/>
    </row>
    <row r="38" spans="1:22" ht="12.75" customHeight="1" x14ac:dyDescent="0.25">
      <c r="B38" s="1"/>
      <c r="C38" s="1"/>
      <c r="J38" s="1"/>
    </row>
    <row r="39" spans="1:22" ht="12.75" customHeight="1" x14ac:dyDescent="0.25">
      <c r="B39" s="1"/>
      <c r="C39" s="1"/>
    </row>
    <row r="40" spans="1:22" ht="12.75" customHeight="1" x14ac:dyDescent="0.25">
      <c r="B40" s="1"/>
    </row>
    <row r="41" spans="1:22" ht="12.75" customHeight="1" x14ac:dyDescent="0.25">
      <c r="B41" s="1"/>
      <c r="N41" s="1"/>
    </row>
    <row r="42" spans="1:22" ht="12.75" customHeight="1" x14ac:dyDescent="0.25">
      <c r="B42" s="1"/>
    </row>
    <row r="43" spans="1:22" ht="12.75" customHeight="1" x14ac:dyDescent="0.25">
      <c r="B43" s="1"/>
    </row>
    <row r="44" spans="1:22" ht="12.75" customHeight="1" x14ac:dyDescent="0.25">
      <c r="B44" s="1"/>
    </row>
    <row r="45" spans="1:22" ht="12.75" customHeight="1" x14ac:dyDescent="0.25">
      <c r="B45" s="1"/>
    </row>
    <row r="46" spans="1:22" ht="12.75" customHeight="1" x14ac:dyDescent="0.25">
      <c r="B46" s="1"/>
    </row>
    <row r="47" spans="1:22" ht="12.75" customHeight="1" x14ac:dyDescent="0.25">
      <c r="B47" s="1"/>
    </row>
    <row r="48" spans="1:22" ht="12.75" customHeight="1" x14ac:dyDescent="0.25">
      <c r="B48" s="1"/>
    </row>
    <row r="49" spans="2:7" ht="12.75" customHeight="1" x14ac:dyDescent="0.25">
      <c r="B49" s="1"/>
    </row>
    <row r="50" spans="2:7" ht="12.75" customHeight="1" x14ac:dyDescent="0.25">
      <c r="B50" s="1"/>
    </row>
    <row r="51" spans="2:7" ht="12.75" customHeight="1" x14ac:dyDescent="0.25">
      <c r="B51" s="1"/>
    </row>
    <row r="52" spans="2:7" ht="12.75" customHeight="1" x14ac:dyDescent="0.25">
      <c r="B52" s="1"/>
    </row>
    <row r="55" spans="2:7" ht="13.2" x14ac:dyDescent="0.25">
      <c r="D55" s="21"/>
      <c r="E55" s="21"/>
      <c r="F55" s="21"/>
      <c r="G55" s="21"/>
    </row>
    <row r="70" spans="1:7" ht="13.2" x14ac:dyDescent="0.25">
      <c r="D70" s="21"/>
      <c r="E70" s="21"/>
      <c r="F70" s="21"/>
      <c r="G70" s="21"/>
    </row>
    <row r="71" spans="1:7" ht="12.75" customHeight="1" x14ac:dyDescent="0.25">
      <c r="A71" s="1"/>
    </row>
  </sheetData>
  <mergeCells count="9">
    <mergeCell ref="H11:K11"/>
    <mergeCell ref="D55:G55"/>
    <mergeCell ref="D70:G70"/>
    <mergeCell ref="B1:D1"/>
    <mergeCell ref="B2:D2"/>
    <mergeCell ref="B3:D3"/>
    <mergeCell ref="B9:G9"/>
    <mergeCell ref="B11:C11"/>
    <mergeCell ref="D11:G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1"/>
  <sheetViews>
    <sheetView topLeftCell="O8" workbookViewId="0">
      <selection activeCell="B9" sqref="B9:G9"/>
    </sheetView>
  </sheetViews>
  <sheetFormatPr defaultColWidth="17.109375" defaultRowHeight="12.75" customHeight="1" x14ac:dyDescent="0.25"/>
  <cols>
    <col min="1" max="1" width="15.109375" bestFit="1" customWidth="1"/>
    <col min="2" max="2" width="9.44140625" bestFit="1" customWidth="1"/>
    <col min="3" max="3" width="8.6640625" bestFit="1" customWidth="1"/>
    <col min="4" max="4" width="17" bestFit="1" customWidth="1"/>
    <col min="5" max="5" width="15.109375" bestFit="1" customWidth="1"/>
    <col min="6" max="6" width="17.6640625" bestFit="1" customWidth="1"/>
    <col min="7" max="7" width="15.109375" bestFit="1" customWidth="1"/>
    <col min="8" max="8" width="15" bestFit="1" customWidth="1"/>
    <col min="9" max="10" width="15" customWidth="1"/>
    <col min="11" max="11" width="15.5546875" bestFit="1" customWidth="1"/>
    <col min="12" max="13" width="8.109375" customWidth="1"/>
    <col min="14" max="14" width="93.88671875" bestFit="1" customWidth="1"/>
  </cols>
  <sheetData>
    <row r="1" spans="1:14" ht="13.2" x14ac:dyDescent="0.25">
      <c r="A1" s="4" t="s">
        <v>0</v>
      </c>
      <c r="B1" s="22">
        <v>42242</v>
      </c>
      <c r="C1" s="22"/>
      <c r="D1" s="22"/>
      <c r="E1" s="2"/>
      <c r="F1" s="3"/>
      <c r="G1" s="3"/>
    </row>
    <row r="2" spans="1:14" ht="13.2" x14ac:dyDescent="0.25">
      <c r="A2" s="4" t="s">
        <v>17</v>
      </c>
      <c r="B2" s="23" t="s">
        <v>18</v>
      </c>
      <c r="C2" s="23"/>
      <c r="D2" s="23"/>
      <c r="E2" s="3"/>
      <c r="F2" s="3"/>
      <c r="G2" s="3"/>
    </row>
    <row r="3" spans="1:14" ht="13.2" x14ac:dyDescent="0.25">
      <c r="A3" s="4" t="s">
        <v>1</v>
      </c>
      <c r="B3" s="23" t="s">
        <v>19</v>
      </c>
      <c r="C3" s="24"/>
      <c r="D3" s="24"/>
      <c r="E3" s="3"/>
      <c r="F3" s="3"/>
      <c r="G3" s="3"/>
    </row>
    <row r="4" spans="1:14" ht="13.2" x14ac:dyDescent="0.25">
      <c r="A4" s="4" t="s">
        <v>3</v>
      </c>
      <c r="B4" s="18">
        <v>1064</v>
      </c>
      <c r="E4" s="3"/>
      <c r="F4" s="3"/>
      <c r="G4" s="3"/>
    </row>
    <row r="5" spans="1:14" ht="13.2" x14ac:dyDescent="0.25">
      <c r="A5" s="4" t="s">
        <v>10</v>
      </c>
      <c r="B5" s="17" t="s">
        <v>22</v>
      </c>
      <c r="E5" s="3"/>
      <c r="F5" s="3"/>
      <c r="G5" s="3"/>
    </row>
    <row r="6" spans="1:14" ht="26.4" x14ac:dyDescent="0.25">
      <c r="A6" s="4" t="s">
        <v>20</v>
      </c>
      <c r="B6" s="17" t="s">
        <v>29</v>
      </c>
      <c r="E6" s="3"/>
      <c r="F6" s="3"/>
      <c r="G6" s="3"/>
    </row>
    <row r="7" spans="1:14" ht="13.2" x14ac:dyDescent="0.25">
      <c r="A7" s="4" t="s">
        <v>15</v>
      </c>
      <c r="B7" s="17" t="s">
        <v>16</v>
      </c>
      <c r="E7" s="3"/>
      <c r="F7" s="3"/>
      <c r="G7" s="3"/>
    </row>
    <row r="8" spans="1:14" ht="26.4" x14ac:dyDescent="0.25">
      <c r="A8" s="4" t="s">
        <v>21</v>
      </c>
      <c r="B8" s="17">
        <v>90</v>
      </c>
      <c r="E8" s="3"/>
      <c r="F8" s="3"/>
      <c r="G8" s="3"/>
    </row>
    <row r="9" spans="1:14" ht="117.75" customHeight="1" x14ac:dyDescent="0.25">
      <c r="A9" s="4" t="s">
        <v>2</v>
      </c>
      <c r="B9" s="23" t="s">
        <v>38</v>
      </c>
      <c r="C9" s="24"/>
      <c r="D9" s="24"/>
      <c r="E9" s="24"/>
      <c r="F9" s="24"/>
      <c r="G9" s="24"/>
    </row>
    <row r="10" spans="1:14" ht="13.2" x14ac:dyDescent="0.25">
      <c r="A10" s="1"/>
    </row>
    <row r="11" spans="1:14" ht="13.2" x14ac:dyDescent="0.25">
      <c r="A11" s="1"/>
      <c r="B11" s="20" t="s">
        <v>7</v>
      </c>
      <c r="C11" s="20"/>
      <c r="D11" s="20" t="s">
        <v>6</v>
      </c>
      <c r="E11" s="20"/>
      <c r="F11" s="20"/>
      <c r="G11" s="20"/>
      <c r="H11" s="20" t="s">
        <v>5</v>
      </c>
      <c r="I11" s="20"/>
      <c r="J11" s="20"/>
      <c r="K11" s="20"/>
      <c r="L11" s="16"/>
      <c r="M11" s="16"/>
    </row>
    <row r="12" spans="1:14" ht="26.4" x14ac:dyDescent="0.25">
      <c r="A12" s="4" t="s">
        <v>4</v>
      </c>
      <c r="B12" s="4" t="s">
        <v>11</v>
      </c>
      <c r="C12" s="4" t="s">
        <v>12</v>
      </c>
      <c r="D12" s="4" t="s">
        <v>23</v>
      </c>
      <c r="E12" s="4" t="s">
        <v>25</v>
      </c>
      <c r="F12" s="4" t="s">
        <v>24</v>
      </c>
      <c r="G12" s="4" t="s">
        <v>26</v>
      </c>
      <c r="H12" s="4" t="s">
        <v>13</v>
      </c>
      <c r="I12" s="4" t="s">
        <v>27</v>
      </c>
      <c r="J12" s="4" t="s">
        <v>14</v>
      </c>
      <c r="K12" s="4" t="s">
        <v>28</v>
      </c>
      <c r="L12" s="4" t="s">
        <v>8</v>
      </c>
      <c r="M12" s="4" t="s">
        <v>9</v>
      </c>
      <c r="N12" s="4" t="s">
        <v>2</v>
      </c>
    </row>
    <row r="13" spans="1:14" ht="12.75" customHeight="1" x14ac:dyDescent="0.25">
      <c r="A13">
        <v>50</v>
      </c>
      <c r="B13" s="1">
        <f>A13+(9)</f>
        <v>59</v>
      </c>
      <c r="C13" s="1">
        <f t="shared" ref="C13:C37" si="0">B13/10</f>
        <v>5.9</v>
      </c>
      <c r="D13">
        <v>1155.81</v>
      </c>
      <c r="E13">
        <v>3.44</v>
      </c>
      <c r="F13">
        <v>982.69</v>
      </c>
      <c r="G13">
        <v>3.73</v>
      </c>
      <c r="H13" s="1">
        <v>-422.11</v>
      </c>
      <c r="I13" s="1">
        <v>3.83</v>
      </c>
      <c r="J13">
        <v>118.9</v>
      </c>
      <c r="K13">
        <v>2.69</v>
      </c>
      <c r="L13" s="1">
        <f t="shared" ref="L13:L37" si="1">D13/F13</f>
        <v>1.1761694939401031</v>
      </c>
      <c r="M13" s="1">
        <f t="shared" ref="M13:M37" si="2">F13/D13</f>
        <v>0.85021759631773397</v>
      </c>
      <c r="N13" s="1"/>
    </row>
    <row r="14" spans="1:14" ht="12.75" customHeight="1" x14ac:dyDescent="0.25">
      <c r="A14">
        <v>70</v>
      </c>
      <c r="B14" s="1">
        <f t="shared" ref="B14:B37" si="3">A14+(9)</f>
        <v>79</v>
      </c>
      <c r="C14" s="1">
        <f t="shared" si="0"/>
        <v>7.9</v>
      </c>
      <c r="D14">
        <v>1154.53</v>
      </c>
      <c r="E14">
        <v>4.25</v>
      </c>
      <c r="F14">
        <v>977.81</v>
      </c>
      <c r="G14">
        <v>3.42</v>
      </c>
      <c r="H14" s="1">
        <v>-406.34</v>
      </c>
      <c r="I14" s="1">
        <v>3.34</v>
      </c>
      <c r="J14">
        <v>94.54</v>
      </c>
      <c r="K14">
        <v>2.88</v>
      </c>
      <c r="L14" s="1">
        <f t="shared" si="1"/>
        <v>1.1807304077479266</v>
      </c>
      <c r="M14" s="1">
        <f t="shared" si="2"/>
        <v>0.84693338414766184</v>
      </c>
      <c r="N14" s="1"/>
    </row>
    <row r="15" spans="1:14" ht="12.75" customHeight="1" x14ac:dyDescent="0.25">
      <c r="A15">
        <v>90</v>
      </c>
      <c r="B15" s="1">
        <f t="shared" si="3"/>
        <v>99</v>
      </c>
      <c r="C15" s="1">
        <f t="shared" si="0"/>
        <v>9.9</v>
      </c>
      <c r="D15">
        <v>1152.21</v>
      </c>
      <c r="E15">
        <v>3.18</v>
      </c>
      <c r="F15">
        <v>973.76</v>
      </c>
      <c r="G15">
        <v>3.18</v>
      </c>
      <c r="H15" s="1">
        <v>-399.46</v>
      </c>
      <c r="I15" s="1">
        <v>3.86</v>
      </c>
      <c r="J15" s="1">
        <v>77.64</v>
      </c>
      <c r="K15">
        <v>2.84</v>
      </c>
      <c r="L15" s="1">
        <f t="shared" si="1"/>
        <v>1.1832587085113375</v>
      </c>
      <c r="M15" s="1">
        <f t="shared" si="2"/>
        <v>0.84512371876654424</v>
      </c>
      <c r="N15" s="1"/>
    </row>
    <row r="16" spans="1:14" ht="12.75" customHeight="1" x14ac:dyDescent="0.25">
      <c r="A16">
        <v>110</v>
      </c>
      <c r="B16" s="1">
        <f t="shared" si="3"/>
        <v>119</v>
      </c>
      <c r="C16" s="1">
        <f t="shared" si="0"/>
        <v>11.9</v>
      </c>
      <c r="D16">
        <v>1152.28</v>
      </c>
      <c r="E16">
        <v>4.5199999999999996</v>
      </c>
      <c r="F16">
        <v>968.66</v>
      </c>
      <c r="G16">
        <v>4.3099999999999996</v>
      </c>
      <c r="H16" s="1">
        <v>-388.9</v>
      </c>
      <c r="I16" s="1">
        <v>3.87</v>
      </c>
      <c r="J16">
        <v>53.56</v>
      </c>
      <c r="K16">
        <v>2.74</v>
      </c>
      <c r="L16" s="1">
        <f t="shared" si="1"/>
        <v>1.1895608366196602</v>
      </c>
      <c r="M16" s="1">
        <f t="shared" si="2"/>
        <v>0.84064637067379455</v>
      </c>
      <c r="N16" s="1"/>
    </row>
    <row r="17" spans="1:14" ht="12.75" customHeight="1" x14ac:dyDescent="0.25">
      <c r="A17">
        <v>130</v>
      </c>
      <c r="B17" s="1">
        <f t="shared" si="3"/>
        <v>139</v>
      </c>
      <c r="C17" s="1">
        <f t="shared" si="0"/>
        <v>13.9</v>
      </c>
      <c r="D17">
        <v>1151.8900000000001</v>
      </c>
      <c r="E17">
        <v>4.0999999999999996</v>
      </c>
      <c r="F17">
        <v>966.8</v>
      </c>
      <c r="G17">
        <v>3.34</v>
      </c>
      <c r="H17" s="1">
        <v>-388.98</v>
      </c>
      <c r="I17" s="1">
        <v>4.09</v>
      </c>
      <c r="J17">
        <v>28.65</v>
      </c>
      <c r="K17">
        <v>3.16</v>
      </c>
      <c r="L17" s="1">
        <f t="shared" si="1"/>
        <v>1.1914460074472488</v>
      </c>
      <c r="M17" s="1">
        <f t="shared" si="2"/>
        <v>0.83931625415621269</v>
      </c>
      <c r="N17" s="1"/>
    </row>
    <row r="18" spans="1:14" ht="12.75" customHeight="1" x14ac:dyDescent="0.25">
      <c r="A18">
        <v>150</v>
      </c>
      <c r="B18" s="1">
        <f t="shared" si="3"/>
        <v>159</v>
      </c>
      <c r="C18" s="1">
        <f t="shared" si="0"/>
        <v>15.9</v>
      </c>
      <c r="D18">
        <v>1151.8399999999999</v>
      </c>
      <c r="E18">
        <v>3.46</v>
      </c>
      <c r="F18">
        <v>963.76</v>
      </c>
      <c r="G18">
        <v>3.71</v>
      </c>
      <c r="H18" s="1">
        <v>-384.45</v>
      </c>
      <c r="I18" s="1">
        <v>4.01</v>
      </c>
      <c r="J18">
        <v>22.49</v>
      </c>
      <c r="K18">
        <v>2.61</v>
      </c>
      <c r="L18" s="1">
        <f t="shared" si="1"/>
        <v>1.1951523200796879</v>
      </c>
      <c r="M18" s="1">
        <f t="shared" si="2"/>
        <v>0.83671343242116969</v>
      </c>
      <c r="N18" s="1"/>
    </row>
    <row r="19" spans="1:14" ht="12.75" customHeight="1" x14ac:dyDescent="0.25">
      <c r="A19">
        <v>170</v>
      </c>
      <c r="B19" s="1">
        <f t="shared" si="3"/>
        <v>179</v>
      </c>
      <c r="C19" s="1">
        <f t="shared" si="0"/>
        <v>17.899999999999999</v>
      </c>
      <c r="D19">
        <v>1150.9100000000001</v>
      </c>
      <c r="E19">
        <v>4</v>
      </c>
      <c r="F19">
        <v>959.55</v>
      </c>
      <c r="G19">
        <v>2.62</v>
      </c>
      <c r="H19" s="1">
        <v>-372.04</v>
      </c>
      <c r="I19" s="1">
        <v>3.64</v>
      </c>
      <c r="J19">
        <v>-11.63</v>
      </c>
      <c r="K19">
        <v>2.4300000000000002</v>
      </c>
      <c r="L19" s="1">
        <f t="shared" si="1"/>
        <v>1.1994268146527018</v>
      </c>
      <c r="M19" s="1">
        <f t="shared" si="2"/>
        <v>0.83373156893240996</v>
      </c>
      <c r="N19" s="1"/>
    </row>
    <row r="20" spans="1:14" ht="12.75" customHeight="1" x14ac:dyDescent="0.25">
      <c r="A20">
        <v>190</v>
      </c>
      <c r="B20" s="1">
        <f t="shared" si="3"/>
        <v>199</v>
      </c>
      <c r="C20" s="1">
        <f t="shared" si="0"/>
        <v>19.899999999999999</v>
      </c>
      <c r="D20">
        <v>1152.3699999999999</v>
      </c>
      <c r="E20">
        <v>4.2300000000000004</v>
      </c>
      <c r="F20">
        <v>957.85</v>
      </c>
      <c r="G20">
        <v>2.71</v>
      </c>
      <c r="H20" s="1">
        <v>-374.05</v>
      </c>
      <c r="I20" s="1">
        <v>3.42</v>
      </c>
      <c r="J20">
        <v>15.39</v>
      </c>
      <c r="K20">
        <v>3.1</v>
      </c>
      <c r="L20" s="1">
        <f t="shared" si="1"/>
        <v>1.203079814167145</v>
      </c>
      <c r="M20" s="1">
        <f t="shared" si="2"/>
        <v>0.83120004859550323</v>
      </c>
      <c r="N20" s="1"/>
    </row>
    <row r="21" spans="1:14" ht="12.75" customHeight="1" x14ac:dyDescent="0.25">
      <c r="A21">
        <v>210</v>
      </c>
      <c r="B21" s="1">
        <f t="shared" si="3"/>
        <v>219</v>
      </c>
      <c r="C21" s="1">
        <f t="shared" si="0"/>
        <v>21.9</v>
      </c>
      <c r="D21">
        <v>1151.5999999999999</v>
      </c>
      <c r="E21">
        <v>4.03</v>
      </c>
      <c r="F21">
        <v>956.27</v>
      </c>
      <c r="G21">
        <v>3.08</v>
      </c>
      <c r="H21">
        <v>-368.67</v>
      </c>
      <c r="I21">
        <v>3.47</v>
      </c>
      <c r="J21" s="1">
        <v>17.559999999999999</v>
      </c>
      <c r="K21">
        <v>2.71</v>
      </c>
      <c r="L21" s="1">
        <f t="shared" si="1"/>
        <v>1.2042623945120101</v>
      </c>
      <c r="M21" s="1">
        <f t="shared" si="2"/>
        <v>0.83038381382424453</v>
      </c>
      <c r="N21" s="1"/>
    </row>
    <row r="22" spans="1:14" ht="12.75" customHeight="1" x14ac:dyDescent="0.25">
      <c r="A22">
        <v>230</v>
      </c>
      <c r="B22" s="1">
        <f t="shared" si="3"/>
        <v>239</v>
      </c>
      <c r="C22" s="1">
        <f t="shared" si="0"/>
        <v>23.9</v>
      </c>
      <c r="D22">
        <v>1151.1600000000001</v>
      </c>
      <c r="E22">
        <v>3.39</v>
      </c>
      <c r="F22">
        <v>957.13</v>
      </c>
      <c r="G22">
        <v>2.89</v>
      </c>
      <c r="H22">
        <v>-357.05</v>
      </c>
      <c r="I22">
        <v>3.67</v>
      </c>
      <c r="J22">
        <v>18.61</v>
      </c>
      <c r="K22">
        <v>3.19</v>
      </c>
      <c r="L22" s="1">
        <f t="shared" si="1"/>
        <v>1.2027206335607494</v>
      </c>
      <c r="M22" s="1">
        <f t="shared" si="2"/>
        <v>0.83144827825845224</v>
      </c>
      <c r="N22" s="1"/>
    </row>
    <row r="23" spans="1:14" ht="12.75" customHeight="1" x14ac:dyDescent="0.25">
      <c r="A23">
        <v>250</v>
      </c>
      <c r="B23" s="1">
        <f t="shared" si="3"/>
        <v>259</v>
      </c>
      <c r="C23" s="1">
        <f t="shared" si="0"/>
        <v>25.9</v>
      </c>
      <c r="D23">
        <v>1151.7</v>
      </c>
      <c r="E23" s="1">
        <v>4.54</v>
      </c>
      <c r="F23">
        <v>954.8</v>
      </c>
      <c r="G23">
        <v>3.02</v>
      </c>
      <c r="H23">
        <v>-352.03</v>
      </c>
      <c r="I23">
        <v>3.8</v>
      </c>
      <c r="J23">
        <v>8.81</v>
      </c>
      <c r="K23">
        <v>2.41</v>
      </c>
      <c r="L23" s="1">
        <f t="shared" si="1"/>
        <v>1.2062211981566822</v>
      </c>
      <c r="M23" s="1">
        <f t="shared" si="2"/>
        <v>0.82903533906399229</v>
      </c>
      <c r="N23" s="1"/>
    </row>
    <row r="24" spans="1:14" ht="12.75" customHeight="1" x14ac:dyDescent="0.25">
      <c r="A24">
        <v>270</v>
      </c>
      <c r="B24" s="1">
        <f t="shared" si="3"/>
        <v>279</v>
      </c>
      <c r="C24" s="1">
        <f t="shared" si="0"/>
        <v>27.9</v>
      </c>
      <c r="D24">
        <v>1151.78</v>
      </c>
      <c r="E24">
        <v>3.34</v>
      </c>
      <c r="F24">
        <v>953.84</v>
      </c>
      <c r="G24">
        <v>3.14</v>
      </c>
      <c r="H24">
        <v>-341.09</v>
      </c>
      <c r="I24">
        <v>3.16</v>
      </c>
      <c r="J24">
        <v>-12.7</v>
      </c>
      <c r="K24">
        <v>2.99</v>
      </c>
      <c r="L24">
        <f t="shared" si="1"/>
        <v>1.207519080768263</v>
      </c>
      <c r="M24">
        <f t="shared" si="2"/>
        <v>0.82814426366146321</v>
      </c>
      <c r="N24" s="1"/>
    </row>
    <row r="25" spans="1:14" ht="12.75" customHeight="1" x14ac:dyDescent="0.25">
      <c r="A25">
        <v>290</v>
      </c>
      <c r="B25" s="1">
        <f t="shared" si="3"/>
        <v>299</v>
      </c>
      <c r="C25" s="1">
        <f t="shared" si="0"/>
        <v>29.9</v>
      </c>
      <c r="D25">
        <v>1150.08</v>
      </c>
      <c r="E25">
        <v>3.65</v>
      </c>
      <c r="F25">
        <v>956.35</v>
      </c>
      <c r="G25">
        <v>3.17</v>
      </c>
      <c r="H25">
        <v>-327.52999999999997</v>
      </c>
      <c r="I25">
        <v>3.9</v>
      </c>
      <c r="J25">
        <v>-39.630000000000003</v>
      </c>
      <c r="K25">
        <v>2.84</v>
      </c>
      <c r="L25">
        <f t="shared" si="1"/>
        <v>1.2025722800230041</v>
      </c>
      <c r="M25">
        <f t="shared" si="2"/>
        <v>0.83155084863661666</v>
      </c>
      <c r="N25" s="1"/>
    </row>
    <row r="26" spans="1:14" ht="12.75" customHeight="1" x14ac:dyDescent="0.25">
      <c r="A26">
        <v>310</v>
      </c>
      <c r="B26" s="1">
        <f t="shared" si="3"/>
        <v>319</v>
      </c>
      <c r="C26" s="1">
        <f t="shared" si="0"/>
        <v>31.9</v>
      </c>
      <c r="D26">
        <v>1152.03</v>
      </c>
      <c r="E26">
        <v>3.4</v>
      </c>
      <c r="F26">
        <v>955.14</v>
      </c>
      <c r="G26">
        <v>2.83</v>
      </c>
      <c r="H26">
        <v>-321.39</v>
      </c>
      <c r="I26">
        <v>3.43</v>
      </c>
      <c r="J26">
        <v>-43.6</v>
      </c>
      <c r="K26">
        <v>3.09</v>
      </c>
      <c r="L26">
        <f t="shared" si="1"/>
        <v>1.2061373201834287</v>
      </c>
      <c r="M26">
        <f t="shared" si="2"/>
        <v>0.82909299236999034</v>
      </c>
      <c r="N26" s="1"/>
    </row>
    <row r="27" spans="1:14" ht="12.75" customHeight="1" x14ac:dyDescent="0.25">
      <c r="A27">
        <v>330</v>
      </c>
      <c r="B27" s="1">
        <f t="shared" si="3"/>
        <v>339</v>
      </c>
      <c r="C27" s="1">
        <f t="shared" si="0"/>
        <v>33.9</v>
      </c>
      <c r="D27">
        <v>1154.51</v>
      </c>
      <c r="E27">
        <v>3.91</v>
      </c>
      <c r="F27">
        <v>957.01</v>
      </c>
      <c r="G27">
        <v>3.61</v>
      </c>
      <c r="H27">
        <v>-314.94</v>
      </c>
      <c r="I27">
        <v>3.53</v>
      </c>
      <c r="J27">
        <v>-50.75</v>
      </c>
      <c r="K27">
        <v>2.62</v>
      </c>
      <c r="L27">
        <f t="shared" si="1"/>
        <v>1.2063719292379389</v>
      </c>
      <c r="M27">
        <f t="shared" si="2"/>
        <v>0.82893175459718837</v>
      </c>
      <c r="N27" s="1"/>
    </row>
    <row r="28" spans="1:14" ht="12.75" customHeight="1" x14ac:dyDescent="0.25">
      <c r="A28">
        <v>350</v>
      </c>
      <c r="B28" s="1">
        <f t="shared" si="3"/>
        <v>359</v>
      </c>
      <c r="C28" s="1">
        <f t="shared" si="0"/>
        <v>35.9</v>
      </c>
      <c r="D28">
        <v>1157.6500000000001</v>
      </c>
      <c r="E28">
        <v>4.03</v>
      </c>
      <c r="F28">
        <v>958.86</v>
      </c>
      <c r="G28">
        <v>3.48</v>
      </c>
      <c r="H28">
        <v>-303.56</v>
      </c>
      <c r="I28">
        <v>3.46</v>
      </c>
      <c r="J28">
        <v>-48.63</v>
      </c>
      <c r="K28">
        <v>2.52</v>
      </c>
      <c r="L28">
        <f t="shared" si="1"/>
        <v>1.2073191081075445</v>
      </c>
      <c r="M28">
        <f t="shared" si="2"/>
        <v>0.82828143221180839</v>
      </c>
    </row>
    <row r="29" spans="1:14" ht="12.75" customHeight="1" x14ac:dyDescent="0.25">
      <c r="A29">
        <v>370</v>
      </c>
      <c r="B29" s="1">
        <f t="shared" si="3"/>
        <v>379</v>
      </c>
      <c r="C29" s="1">
        <f t="shared" si="0"/>
        <v>37.9</v>
      </c>
      <c r="D29">
        <v>1161.1400000000001</v>
      </c>
      <c r="E29">
        <v>4.5</v>
      </c>
      <c r="F29">
        <v>963.29</v>
      </c>
      <c r="G29">
        <v>4.1100000000000003</v>
      </c>
      <c r="H29">
        <v>-304.06</v>
      </c>
      <c r="I29">
        <v>4.22</v>
      </c>
      <c r="J29">
        <v>-39.01</v>
      </c>
      <c r="K29">
        <v>2.72</v>
      </c>
      <c r="L29">
        <f t="shared" si="1"/>
        <v>1.2053898618276948</v>
      </c>
      <c r="M29">
        <f t="shared" si="2"/>
        <v>0.82960711025371603</v>
      </c>
    </row>
    <row r="30" spans="1:14" ht="12.75" customHeight="1" x14ac:dyDescent="0.25">
      <c r="A30">
        <v>390</v>
      </c>
      <c r="B30" s="1">
        <f t="shared" si="3"/>
        <v>399</v>
      </c>
      <c r="C30" s="1">
        <f t="shared" si="0"/>
        <v>39.9</v>
      </c>
      <c r="D30">
        <v>1163.8</v>
      </c>
      <c r="E30">
        <v>3.13</v>
      </c>
      <c r="F30">
        <v>967.39</v>
      </c>
      <c r="G30">
        <v>3.28</v>
      </c>
      <c r="H30">
        <v>-302.02</v>
      </c>
      <c r="I30">
        <v>3.32</v>
      </c>
      <c r="J30">
        <v>-30.2</v>
      </c>
      <c r="K30">
        <v>2.88</v>
      </c>
      <c r="L30">
        <f t="shared" si="1"/>
        <v>1.2030308355471939</v>
      </c>
      <c r="M30">
        <f t="shared" si="2"/>
        <v>0.83123388898436157</v>
      </c>
    </row>
    <row r="31" spans="1:14" ht="12.75" customHeight="1" x14ac:dyDescent="0.25">
      <c r="A31">
        <v>410</v>
      </c>
      <c r="B31" s="1">
        <f t="shared" si="3"/>
        <v>419</v>
      </c>
      <c r="C31" s="1">
        <f t="shared" si="0"/>
        <v>41.9</v>
      </c>
      <c r="D31">
        <v>1168.29</v>
      </c>
      <c r="E31">
        <v>4.66</v>
      </c>
      <c r="F31">
        <v>971.68</v>
      </c>
      <c r="G31">
        <v>4.16</v>
      </c>
      <c r="H31">
        <v>-296.57</v>
      </c>
      <c r="I31">
        <v>3.99</v>
      </c>
      <c r="J31">
        <v>-42.91</v>
      </c>
      <c r="K31">
        <v>2.7</v>
      </c>
      <c r="L31">
        <f t="shared" si="1"/>
        <v>1.202340276634283</v>
      </c>
      <c r="M31">
        <f t="shared" si="2"/>
        <v>0.83171130455623177</v>
      </c>
    </row>
    <row r="32" spans="1:14" ht="12.75" customHeight="1" x14ac:dyDescent="0.25">
      <c r="A32">
        <v>430</v>
      </c>
      <c r="B32" s="1">
        <f t="shared" si="3"/>
        <v>439</v>
      </c>
      <c r="C32" s="1">
        <f t="shared" si="0"/>
        <v>43.9</v>
      </c>
      <c r="D32">
        <v>1172.01</v>
      </c>
      <c r="E32">
        <v>4.28</v>
      </c>
      <c r="F32">
        <v>973.31</v>
      </c>
      <c r="G32">
        <v>4.17</v>
      </c>
      <c r="H32">
        <v>-298.57</v>
      </c>
      <c r="I32">
        <v>3.8</v>
      </c>
      <c r="J32">
        <v>-45.55</v>
      </c>
      <c r="K32">
        <v>2.84</v>
      </c>
      <c r="L32">
        <f t="shared" si="1"/>
        <v>1.2041487295928328</v>
      </c>
      <c r="M32">
        <f t="shared" si="2"/>
        <v>0.83046219742152372</v>
      </c>
    </row>
    <row r="33" spans="1:22" ht="12.75" customHeight="1" x14ac:dyDescent="0.25">
      <c r="A33">
        <v>450</v>
      </c>
      <c r="B33" s="1">
        <f t="shared" si="3"/>
        <v>459</v>
      </c>
      <c r="C33" s="1">
        <f t="shared" si="0"/>
        <v>45.9</v>
      </c>
      <c r="D33">
        <v>1173.96</v>
      </c>
      <c r="E33">
        <v>4.08</v>
      </c>
      <c r="F33">
        <v>978.15</v>
      </c>
      <c r="G33">
        <v>3.57</v>
      </c>
      <c r="H33">
        <v>-278.14999999999998</v>
      </c>
      <c r="I33">
        <v>3.73</v>
      </c>
      <c r="J33">
        <v>-85.86</v>
      </c>
      <c r="K33">
        <v>3.74</v>
      </c>
      <c r="L33">
        <f t="shared" si="1"/>
        <v>1.2001840208556971</v>
      </c>
      <c r="M33">
        <f t="shared" si="2"/>
        <v>0.83320556066646223</v>
      </c>
    </row>
    <row r="34" spans="1:22" ht="12.75" customHeight="1" x14ac:dyDescent="0.25">
      <c r="A34">
        <v>470</v>
      </c>
      <c r="B34" s="1">
        <f t="shared" si="3"/>
        <v>479</v>
      </c>
      <c r="C34" s="1">
        <f t="shared" si="0"/>
        <v>47.9</v>
      </c>
      <c r="D34">
        <v>1175.56</v>
      </c>
      <c r="E34">
        <v>4.1399999999999997</v>
      </c>
      <c r="F34">
        <v>983.7</v>
      </c>
      <c r="G34">
        <v>3.8</v>
      </c>
      <c r="H34">
        <v>-270.98</v>
      </c>
      <c r="I34">
        <v>4</v>
      </c>
      <c r="J34">
        <v>-101.23</v>
      </c>
      <c r="K34">
        <v>3.6</v>
      </c>
      <c r="L34">
        <f t="shared" si="1"/>
        <v>1.1950391379485614</v>
      </c>
      <c r="M34">
        <f t="shared" si="2"/>
        <v>0.83679267753241016</v>
      </c>
    </row>
    <row r="35" spans="1:22" ht="12.75" customHeight="1" x14ac:dyDescent="0.25">
      <c r="A35">
        <v>490</v>
      </c>
      <c r="B35" s="1">
        <f t="shared" si="3"/>
        <v>499</v>
      </c>
      <c r="C35" s="1">
        <f t="shared" si="0"/>
        <v>49.9</v>
      </c>
      <c r="D35">
        <v>1181.29</v>
      </c>
      <c r="E35">
        <v>4.46</v>
      </c>
      <c r="F35">
        <v>990.1</v>
      </c>
      <c r="G35">
        <v>4.0599999999999996</v>
      </c>
      <c r="H35" s="1">
        <v>-262.56</v>
      </c>
      <c r="I35" s="1">
        <v>3.77</v>
      </c>
      <c r="J35">
        <v>95.54</v>
      </c>
      <c r="K35">
        <v>2.5299999999999998</v>
      </c>
      <c r="L35">
        <f t="shared" si="1"/>
        <v>1.193101706898293</v>
      </c>
      <c r="M35">
        <f t="shared" si="2"/>
        <v>0.83815151232974128</v>
      </c>
    </row>
    <row r="36" spans="1:22" ht="12.75" customHeight="1" x14ac:dyDescent="0.25">
      <c r="A36">
        <v>510</v>
      </c>
      <c r="B36" s="1">
        <f t="shared" si="3"/>
        <v>519</v>
      </c>
      <c r="C36" s="1">
        <f t="shared" si="0"/>
        <v>51.9</v>
      </c>
      <c r="D36">
        <v>1187.1500000000001</v>
      </c>
      <c r="E36">
        <v>3.98</v>
      </c>
      <c r="F36">
        <v>994.58</v>
      </c>
      <c r="G36">
        <v>3.44</v>
      </c>
      <c r="H36">
        <v>-262.91000000000003</v>
      </c>
      <c r="I36">
        <v>3.94</v>
      </c>
      <c r="J36">
        <v>-89.34</v>
      </c>
      <c r="K36">
        <v>3.32</v>
      </c>
      <c r="L36">
        <f t="shared" si="1"/>
        <v>1.1936194172414487</v>
      </c>
      <c r="M36">
        <f t="shared" si="2"/>
        <v>0.83778797961504436</v>
      </c>
    </row>
    <row r="37" spans="1:22" ht="12.75" customHeight="1" x14ac:dyDescent="0.25">
      <c r="A37">
        <v>530</v>
      </c>
      <c r="B37" s="1">
        <f t="shared" si="3"/>
        <v>539</v>
      </c>
      <c r="C37" s="1">
        <f t="shared" si="0"/>
        <v>53.9</v>
      </c>
      <c r="D37">
        <v>1193.53</v>
      </c>
      <c r="E37">
        <v>4.2</v>
      </c>
      <c r="F37">
        <v>1002.69</v>
      </c>
      <c r="G37">
        <v>3.76</v>
      </c>
      <c r="H37">
        <v>-250.2</v>
      </c>
      <c r="I37">
        <v>3.62</v>
      </c>
      <c r="J37">
        <v>-78.010000000000005</v>
      </c>
      <c r="K37">
        <v>2.67</v>
      </c>
      <c r="L37">
        <f t="shared" si="1"/>
        <v>1.1903280176325683</v>
      </c>
      <c r="M37">
        <f t="shared" si="2"/>
        <v>0.84010456377300957</v>
      </c>
      <c r="V37" s="1"/>
    </row>
    <row r="38" spans="1:22" ht="12.75" customHeight="1" x14ac:dyDescent="0.25">
      <c r="B38" s="1"/>
      <c r="C38" s="1"/>
      <c r="J38" s="1"/>
    </row>
    <row r="39" spans="1:22" ht="12.75" customHeight="1" x14ac:dyDescent="0.25">
      <c r="B39" s="1"/>
      <c r="C39" s="1"/>
    </row>
    <row r="40" spans="1:22" ht="12.75" customHeight="1" x14ac:dyDescent="0.25">
      <c r="B40" s="1"/>
    </row>
    <row r="41" spans="1:22" ht="12.75" customHeight="1" x14ac:dyDescent="0.25">
      <c r="B41" s="1"/>
      <c r="N41" s="1"/>
    </row>
    <row r="42" spans="1:22" ht="12.75" customHeight="1" x14ac:dyDescent="0.25">
      <c r="B42" s="1"/>
    </row>
    <row r="43" spans="1:22" ht="12.75" customHeight="1" x14ac:dyDescent="0.25">
      <c r="B43" s="1"/>
    </row>
    <row r="44" spans="1:22" ht="12.75" customHeight="1" x14ac:dyDescent="0.25">
      <c r="B44" s="1"/>
    </row>
    <row r="45" spans="1:22" ht="12.75" customHeight="1" x14ac:dyDescent="0.25">
      <c r="B45" s="1"/>
    </row>
    <row r="46" spans="1:22" ht="12.75" customHeight="1" x14ac:dyDescent="0.25">
      <c r="B46" s="1"/>
    </row>
    <row r="47" spans="1:22" ht="12.75" customHeight="1" x14ac:dyDescent="0.25">
      <c r="B47" s="1"/>
    </row>
    <row r="48" spans="1:22" ht="12.75" customHeight="1" x14ac:dyDescent="0.25">
      <c r="B48" s="1"/>
    </row>
    <row r="49" spans="2:7" ht="12.75" customHeight="1" x14ac:dyDescent="0.25">
      <c r="B49" s="1"/>
    </row>
    <row r="50" spans="2:7" ht="12.75" customHeight="1" x14ac:dyDescent="0.25">
      <c r="B50" s="1"/>
    </row>
    <row r="51" spans="2:7" ht="12.75" customHeight="1" x14ac:dyDescent="0.25">
      <c r="B51" s="1"/>
    </row>
    <row r="52" spans="2:7" ht="12.75" customHeight="1" x14ac:dyDescent="0.25">
      <c r="B52" s="1"/>
    </row>
    <row r="55" spans="2:7" ht="13.2" x14ac:dyDescent="0.25">
      <c r="D55" s="21"/>
      <c r="E55" s="21"/>
      <c r="F55" s="21"/>
      <c r="G55" s="21"/>
    </row>
    <row r="70" spans="1:7" ht="13.2" x14ac:dyDescent="0.25">
      <c r="D70" s="21"/>
      <c r="E70" s="21"/>
      <c r="F70" s="21"/>
      <c r="G70" s="21"/>
    </row>
    <row r="71" spans="1:7" ht="12.75" customHeight="1" x14ac:dyDescent="0.25">
      <c r="A71" s="1"/>
    </row>
  </sheetData>
  <mergeCells count="9">
    <mergeCell ref="H11:K11"/>
    <mergeCell ref="D55:G55"/>
    <mergeCell ref="D70:G70"/>
    <mergeCell ref="B1:D1"/>
    <mergeCell ref="B2:D2"/>
    <mergeCell ref="B3:D3"/>
    <mergeCell ref="B9:G9"/>
    <mergeCell ref="B11:C11"/>
    <mergeCell ref="D11:G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1"/>
  <sheetViews>
    <sheetView topLeftCell="A9" workbookViewId="0">
      <selection activeCell="B13" sqref="B13"/>
    </sheetView>
  </sheetViews>
  <sheetFormatPr defaultColWidth="17.109375" defaultRowHeight="12.75" customHeight="1" x14ac:dyDescent="0.25"/>
  <cols>
    <col min="1" max="1" width="15.109375" bestFit="1" customWidth="1"/>
    <col min="2" max="2" width="9.44140625" bestFit="1" customWidth="1"/>
    <col min="3" max="3" width="8.6640625" bestFit="1" customWidth="1"/>
    <col min="4" max="4" width="17" bestFit="1" customWidth="1"/>
    <col min="5" max="5" width="15.109375" bestFit="1" customWidth="1"/>
    <col min="6" max="6" width="17.6640625" bestFit="1" customWidth="1"/>
    <col min="7" max="7" width="15.109375" bestFit="1" customWidth="1"/>
    <col min="8" max="8" width="15" bestFit="1" customWidth="1"/>
    <col min="9" max="10" width="15" customWidth="1"/>
    <col min="11" max="11" width="15.5546875" bestFit="1" customWidth="1"/>
    <col min="12" max="13" width="8.109375" customWidth="1"/>
    <col min="14" max="14" width="93.88671875" bestFit="1" customWidth="1"/>
  </cols>
  <sheetData>
    <row r="1" spans="1:14" ht="13.2" x14ac:dyDescent="0.25">
      <c r="A1" s="4" t="s">
        <v>0</v>
      </c>
      <c r="B1" s="22">
        <v>42242</v>
      </c>
      <c r="C1" s="22"/>
      <c r="D1" s="22"/>
      <c r="E1" s="2"/>
      <c r="F1" s="3"/>
      <c r="G1" s="3"/>
    </row>
    <row r="2" spans="1:14" ht="13.2" x14ac:dyDescent="0.25">
      <c r="A2" s="4" t="s">
        <v>17</v>
      </c>
      <c r="B2" s="23" t="s">
        <v>18</v>
      </c>
      <c r="C2" s="23"/>
      <c r="D2" s="23"/>
      <c r="E2" s="3"/>
      <c r="F2" s="3"/>
      <c r="G2" s="3"/>
    </row>
    <row r="3" spans="1:14" ht="13.2" x14ac:dyDescent="0.25">
      <c r="A3" s="4" t="s">
        <v>1</v>
      </c>
      <c r="B3" s="23" t="s">
        <v>19</v>
      </c>
      <c r="C3" s="24"/>
      <c r="D3" s="24"/>
      <c r="E3" s="3"/>
      <c r="F3" s="3"/>
      <c r="G3" s="3"/>
    </row>
    <row r="4" spans="1:14" ht="13.2" x14ac:dyDescent="0.25">
      <c r="A4" s="4" t="s">
        <v>3</v>
      </c>
      <c r="B4" s="11">
        <v>1064</v>
      </c>
      <c r="E4" s="3"/>
      <c r="F4" s="3"/>
      <c r="G4" s="3"/>
    </row>
    <row r="5" spans="1:14" ht="13.2" x14ac:dyDescent="0.25">
      <c r="A5" s="4" t="s">
        <v>10</v>
      </c>
      <c r="B5" s="10" t="s">
        <v>22</v>
      </c>
      <c r="E5" s="3"/>
      <c r="F5" s="3"/>
      <c r="G5" s="3"/>
    </row>
    <row r="6" spans="1:14" ht="26.4" x14ac:dyDescent="0.25">
      <c r="A6" s="4" t="s">
        <v>20</v>
      </c>
      <c r="B6" s="12" t="s">
        <v>31</v>
      </c>
      <c r="E6" s="3"/>
      <c r="F6" s="3"/>
      <c r="G6" s="3"/>
    </row>
    <row r="7" spans="1:14" ht="13.2" x14ac:dyDescent="0.25">
      <c r="A7" s="4" t="s">
        <v>15</v>
      </c>
      <c r="B7" s="12" t="s">
        <v>30</v>
      </c>
      <c r="E7" s="3"/>
      <c r="F7" s="3"/>
      <c r="G7" s="3"/>
    </row>
    <row r="8" spans="1:14" ht="26.4" x14ac:dyDescent="0.25">
      <c r="A8" s="4" t="s">
        <v>21</v>
      </c>
      <c r="B8" s="10">
        <v>90</v>
      </c>
      <c r="E8" s="3"/>
      <c r="F8" s="3"/>
      <c r="G8" s="3"/>
    </row>
    <row r="9" spans="1:14" ht="117.75" customHeight="1" x14ac:dyDescent="0.25">
      <c r="A9" s="4" t="s">
        <v>2</v>
      </c>
      <c r="B9" s="23" t="s">
        <v>40</v>
      </c>
      <c r="C9" s="24"/>
      <c r="D9" s="24"/>
      <c r="E9" s="24"/>
      <c r="F9" s="24"/>
      <c r="G9" s="24"/>
    </row>
    <row r="10" spans="1:14" ht="13.2" x14ac:dyDescent="0.25">
      <c r="A10" s="1"/>
    </row>
    <row r="11" spans="1:14" ht="13.2" x14ac:dyDescent="0.25">
      <c r="A11" s="1"/>
      <c r="B11" s="20" t="s">
        <v>7</v>
      </c>
      <c r="C11" s="20"/>
      <c r="D11" s="20" t="s">
        <v>6</v>
      </c>
      <c r="E11" s="20"/>
      <c r="F11" s="20"/>
      <c r="G11" s="20"/>
      <c r="H11" s="20" t="s">
        <v>5</v>
      </c>
      <c r="I11" s="20"/>
      <c r="J11" s="20"/>
      <c r="K11" s="20"/>
      <c r="L11" s="9"/>
      <c r="M11" s="9"/>
    </row>
    <row r="12" spans="1:14" ht="26.4" x14ac:dyDescent="0.25">
      <c r="A12" s="4" t="s">
        <v>4</v>
      </c>
      <c r="B12" s="4" t="s">
        <v>11</v>
      </c>
      <c r="C12" s="4" t="s">
        <v>12</v>
      </c>
      <c r="D12" s="4" t="s">
        <v>23</v>
      </c>
      <c r="E12" s="4" t="s">
        <v>25</v>
      </c>
      <c r="F12" s="4" t="s">
        <v>24</v>
      </c>
      <c r="G12" s="4" t="s">
        <v>26</v>
      </c>
      <c r="H12" s="4" t="s">
        <v>13</v>
      </c>
      <c r="I12" s="4" t="s">
        <v>27</v>
      </c>
      <c r="J12" s="4" t="s">
        <v>14</v>
      </c>
      <c r="K12" s="4" t="s">
        <v>28</v>
      </c>
      <c r="L12" s="4" t="s">
        <v>8</v>
      </c>
      <c r="M12" s="4" t="s">
        <v>9</v>
      </c>
      <c r="N12" s="4" t="s">
        <v>2</v>
      </c>
    </row>
    <row r="13" spans="1:14" ht="12.75" customHeight="1" x14ac:dyDescent="0.25">
      <c r="A13">
        <v>320</v>
      </c>
      <c r="B13" s="1">
        <f>A13+(65)</f>
        <v>385</v>
      </c>
      <c r="C13" s="1">
        <f t="shared" ref="C13:C37" si="0">B13/10</f>
        <v>38.5</v>
      </c>
      <c r="D13">
        <v>672.42</v>
      </c>
      <c r="E13">
        <v>4.63</v>
      </c>
      <c r="F13">
        <v>527.6</v>
      </c>
      <c r="G13">
        <v>5.91</v>
      </c>
      <c r="H13" s="1"/>
      <c r="I13" s="1"/>
      <c r="L13" s="1">
        <f t="shared" ref="L13:L42" si="1">D13/F13</f>
        <v>1.2744882486732372</v>
      </c>
      <c r="M13" s="1">
        <f t="shared" ref="M13:M42" si="2">F13/D13</f>
        <v>0.78462865470985399</v>
      </c>
      <c r="N13" s="1"/>
    </row>
    <row r="14" spans="1:14" ht="12.75" customHeight="1" x14ac:dyDescent="0.25">
      <c r="A14">
        <v>325</v>
      </c>
      <c r="B14" s="1">
        <f t="shared" ref="B14:B42" si="3">A14+(65)</f>
        <v>390</v>
      </c>
      <c r="C14" s="1">
        <f t="shared" si="0"/>
        <v>39</v>
      </c>
      <c r="D14">
        <v>533.1</v>
      </c>
      <c r="E14">
        <v>2.86</v>
      </c>
      <c r="F14">
        <v>529.35</v>
      </c>
      <c r="G14">
        <v>7.17</v>
      </c>
      <c r="H14" s="1"/>
      <c r="I14" s="1"/>
      <c r="L14" s="1">
        <f t="shared" si="1"/>
        <v>1.0070841598186455</v>
      </c>
      <c r="M14" s="1">
        <f t="shared" si="2"/>
        <v>0.99296567248171075</v>
      </c>
      <c r="N14" s="1"/>
    </row>
    <row r="15" spans="1:14" ht="12.75" customHeight="1" x14ac:dyDescent="0.25">
      <c r="A15">
        <v>330</v>
      </c>
      <c r="B15" s="1">
        <f t="shared" si="3"/>
        <v>395</v>
      </c>
      <c r="C15" s="1">
        <f t="shared" si="0"/>
        <v>39.5</v>
      </c>
      <c r="D15">
        <v>387.34</v>
      </c>
      <c r="E15">
        <v>2.58</v>
      </c>
      <c r="F15">
        <v>529.87</v>
      </c>
      <c r="G15">
        <v>7.04</v>
      </c>
      <c r="H15" s="1"/>
      <c r="I15" s="1"/>
      <c r="J15" s="1"/>
      <c r="L15" s="1">
        <f t="shared" si="1"/>
        <v>0.73100949289448347</v>
      </c>
      <c r="M15" s="1">
        <f t="shared" si="2"/>
        <v>1.3679712913719213</v>
      </c>
      <c r="N15" s="1"/>
    </row>
    <row r="16" spans="1:14" ht="12.75" customHeight="1" x14ac:dyDescent="0.25">
      <c r="A16">
        <v>331</v>
      </c>
      <c r="B16" s="1">
        <f t="shared" si="3"/>
        <v>396</v>
      </c>
      <c r="C16" s="1">
        <f t="shared" si="0"/>
        <v>39.6</v>
      </c>
      <c r="D16">
        <v>352.57</v>
      </c>
      <c r="E16">
        <v>2.0499999999999998</v>
      </c>
      <c r="F16">
        <v>530.70000000000005</v>
      </c>
      <c r="G16">
        <v>6.3</v>
      </c>
      <c r="H16" s="1"/>
      <c r="I16" s="1"/>
      <c r="L16" s="1">
        <f t="shared" si="1"/>
        <v>0.66434897305445628</v>
      </c>
      <c r="M16" s="1">
        <f t="shared" si="2"/>
        <v>1.5052330033752164</v>
      </c>
      <c r="N16" s="1"/>
    </row>
    <row r="17" spans="1:14" ht="12.75" customHeight="1" x14ac:dyDescent="0.25">
      <c r="A17">
        <v>332</v>
      </c>
      <c r="B17" s="1">
        <f t="shared" si="3"/>
        <v>397</v>
      </c>
      <c r="C17" s="1">
        <f t="shared" si="0"/>
        <v>39.700000000000003</v>
      </c>
      <c r="D17">
        <v>323.58</v>
      </c>
      <c r="E17">
        <v>2</v>
      </c>
      <c r="F17">
        <v>530.24</v>
      </c>
      <c r="G17">
        <v>6.83</v>
      </c>
      <c r="H17" s="1"/>
      <c r="I17" s="1"/>
      <c r="L17" s="1">
        <f t="shared" si="1"/>
        <v>0.6102519613759807</v>
      </c>
      <c r="M17" s="1">
        <f t="shared" si="2"/>
        <v>1.6386674083688733</v>
      </c>
      <c r="N17" s="1"/>
    </row>
    <row r="18" spans="1:14" ht="12.75" customHeight="1" x14ac:dyDescent="0.25">
      <c r="A18">
        <v>333</v>
      </c>
      <c r="B18" s="1">
        <f t="shared" si="3"/>
        <v>398</v>
      </c>
      <c r="C18" s="1">
        <f t="shared" si="0"/>
        <v>39.799999999999997</v>
      </c>
      <c r="D18">
        <v>288.42</v>
      </c>
      <c r="E18">
        <v>1.53</v>
      </c>
      <c r="F18">
        <v>532.88</v>
      </c>
      <c r="G18">
        <v>6.38</v>
      </c>
      <c r="H18" s="1"/>
      <c r="I18" s="1"/>
      <c r="L18" s="1">
        <f t="shared" si="1"/>
        <v>0.54124756042636246</v>
      </c>
      <c r="M18" s="1">
        <f t="shared" si="2"/>
        <v>1.8475833853408223</v>
      </c>
      <c r="N18" s="1"/>
    </row>
    <row r="19" spans="1:14" ht="12.75" customHeight="1" x14ac:dyDescent="0.25">
      <c r="A19">
        <v>334</v>
      </c>
      <c r="B19" s="1">
        <f t="shared" si="3"/>
        <v>399</v>
      </c>
      <c r="C19" s="1">
        <f t="shared" si="0"/>
        <v>39.9</v>
      </c>
      <c r="D19">
        <v>259.14999999999998</v>
      </c>
      <c r="E19">
        <v>1.24</v>
      </c>
      <c r="F19">
        <v>531.48</v>
      </c>
      <c r="G19">
        <v>6.22</v>
      </c>
      <c r="H19" s="1"/>
      <c r="I19" s="1"/>
      <c r="L19" s="1">
        <f t="shared" si="1"/>
        <v>0.48760066230149762</v>
      </c>
      <c r="M19" s="1">
        <f t="shared" si="2"/>
        <v>2.0508585761142197</v>
      </c>
      <c r="N19" s="1"/>
    </row>
    <row r="20" spans="1:14" ht="12.75" customHeight="1" x14ac:dyDescent="0.25">
      <c r="A20">
        <v>335</v>
      </c>
      <c r="B20" s="1">
        <f t="shared" si="3"/>
        <v>400</v>
      </c>
      <c r="C20" s="1">
        <f t="shared" si="0"/>
        <v>40</v>
      </c>
      <c r="D20">
        <v>230.46</v>
      </c>
      <c r="E20">
        <v>1.03</v>
      </c>
      <c r="F20">
        <v>530.82000000000005</v>
      </c>
      <c r="G20">
        <v>6.04</v>
      </c>
      <c r="H20" s="1"/>
      <c r="I20" s="1"/>
      <c r="L20" s="1">
        <f t="shared" si="1"/>
        <v>0.43415847179834971</v>
      </c>
      <c r="M20" s="1">
        <f t="shared" si="2"/>
        <v>2.303306430617027</v>
      </c>
      <c r="N20" s="1"/>
    </row>
    <row r="21" spans="1:14" ht="12.75" customHeight="1" x14ac:dyDescent="0.25">
      <c r="A21">
        <v>336</v>
      </c>
      <c r="B21" s="1">
        <f t="shared" si="3"/>
        <v>401</v>
      </c>
      <c r="C21" s="1">
        <f t="shared" si="0"/>
        <v>40.1</v>
      </c>
      <c r="D21">
        <v>200.24</v>
      </c>
      <c r="E21">
        <v>0.72</v>
      </c>
      <c r="F21">
        <v>531.41999999999996</v>
      </c>
      <c r="G21">
        <v>5.58</v>
      </c>
      <c r="J21" s="1"/>
      <c r="L21" s="1">
        <f t="shared" si="1"/>
        <v>0.37680177637273726</v>
      </c>
      <c r="M21" s="1">
        <f t="shared" si="2"/>
        <v>2.6539153016380341</v>
      </c>
      <c r="N21" s="1"/>
    </row>
    <row r="22" spans="1:14" ht="12.75" customHeight="1" x14ac:dyDescent="0.25">
      <c r="A22">
        <v>337</v>
      </c>
      <c r="B22" s="1">
        <f t="shared" si="3"/>
        <v>402</v>
      </c>
      <c r="C22" s="1">
        <f t="shared" si="0"/>
        <v>40.200000000000003</v>
      </c>
      <c r="D22">
        <v>171.85</v>
      </c>
      <c r="E22">
        <v>0.78</v>
      </c>
      <c r="F22">
        <v>529.97</v>
      </c>
      <c r="G22">
        <v>5.57</v>
      </c>
      <c r="L22" s="1">
        <f t="shared" si="1"/>
        <v>0.32426363756439042</v>
      </c>
      <c r="M22" s="1">
        <f t="shared" si="2"/>
        <v>3.083910386965377</v>
      </c>
      <c r="N22" s="1" t="s">
        <v>32</v>
      </c>
    </row>
    <row r="23" spans="1:14" ht="12.75" customHeight="1" x14ac:dyDescent="0.25">
      <c r="A23">
        <v>338</v>
      </c>
      <c r="B23" s="1">
        <f t="shared" si="3"/>
        <v>403</v>
      </c>
      <c r="C23" s="1">
        <f t="shared" si="0"/>
        <v>40.299999999999997</v>
      </c>
      <c r="D23">
        <v>145.31</v>
      </c>
      <c r="E23" s="1">
        <v>0.6</v>
      </c>
      <c r="F23">
        <v>532.57000000000005</v>
      </c>
      <c r="G23">
        <v>5.14</v>
      </c>
      <c r="L23" s="1">
        <f t="shared" si="1"/>
        <v>0.27284676192800944</v>
      </c>
      <c r="M23" s="1">
        <f t="shared" si="2"/>
        <v>3.6650609042736222</v>
      </c>
      <c r="N23" s="1" t="s">
        <v>34</v>
      </c>
    </row>
    <row r="24" spans="1:14" ht="12.75" customHeight="1" x14ac:dyDescent="0.25">
      <c r="A24">
        <v>339</v>
      </c>
      <c r="B24" s="1">
        <f t="shared" si="3"/>
        <v>404</v>
      </c>
      <c r="C24" s="1">
        <f t="shared" si="0"/>
        <v>40.4</v>
      </c>
      <c r="D24">
        <v>121.16</v>
      </c>
      <c r="E24">
        <v>0.47</v>
      </c>
      <c r="F24">
        <v>534.70000000000005</v>
      </c>
      <c r="G24">
        <v>6.09</v>
      </c>
      <c r="L24">
        <f t="shared" si="1"/>
        <v>0.22659435197306899</v>
      </c>
      <c r="M24">
        <f t="shared" si="2"/>
        <v>4.4131726642456259</v>
      </c>
      <c r="N24" s="1" t="s">
        <v>33</v>
      </c>
    </row>
    <row r="25" spans="1:14" ht="12.75" customHeight="1" x14ac:dyDescent="0.25">
      <c r="A25">
        <v>340</v>
      </c>
      <c r="B25" s="1">
        <f t="shared" si="3"/>
        <v>405</v>
      </c>
      <c r="C25" s="1">
        <f t="shared" si="0"/>
        <v>40.5</v>
      </c>
      <c r="D25">
        <v>96.55</v>
      </c>
      <c r="E25">
        <v>0.42</v>
      </c>
      <c r="F25">
        <v>532.98</v>
      </c>
      <c r="G25">
        <v>4.8600000000000003</v>
      </c>
      <c r="L25">
        <f t="shared" si="1"/>
        <v>0.18115126271154638</v>
      </c>
      <c r="M25">
        <f t="shared" si="2"/>
        <v>5.5202485758674262</v>
      </c>
      <c r="N25" s="1" t="s">
        <v>35</v>
      </c>
    </row>
    <row r="26" spans="1:14" ht="12.75" customHeight="1" x14ac:dyDescent="0.25">
      <c r="A26">
        <v>341</v>
      </c>
      <c r="B26" s="1">
        <f t="shared" si="3"/>
        <v>406</v>
      </c>
      <c r="C26" s="1">
        <f t="shared" si="0"/>
        <v>40.6</v>
      </c>
      <c r="D26">
        <v>74.42</v>
      </c>
      <c r="E26">
        <v>0.46</v>
      </c>
      <c r="F26">
        <v>535.15</v>
      </c>
      <c r="G26">
        <v>5.95</v>
      </c>
      <c r="L26">
        <f t="shared" si="1"/>
        <v>0.13906381388395778</v>
      </c>
      <c r="M26">
        <f t="shared" si="2"/>
        <v>7.1909432948132217</v>
      </c>
      <c r="N26" s="1"/>
    </row>
    <row r="27" spans="1:14" ht="12.75" customHeight="1" x14ac:dyDescent="0.25">
      <c r="A27">
        <v>342</v>
      </c>
      <c r="B27" s="1">
        <f t="shared" si="3"/>
        <v>407</v>
      </c>
      <c r="C27" s="1">
        <f t="shared" si="0"/>
        <v>40.700000000000003</v>
      </c>
      <c r="D27">
        <v>57.43</v>
      </c>
      <c r="E27">
        <v>0.23</v>
      </c>
      <c r="F27">
        <v>533.91</v>
      </c>
      <c r="G27">
        <v>4.75</v>
      </c>
      <c r="L27">
        <f t="shared" si="1"/>
        <v>0.10756494540278325</v>
      </c>
      <c r="M27">
        <f t="shared" si="2"/>
        <v>9.2967090370886289</v>
      </c>
      <c r="N27" s="1"/>
    </row>
    <row r="28" spans="1:14" ht="12.75" customHeight="1" x14ac:dyDescent="0.25">
      <c r="A28">
        <v>343</v>
      </c>
      <c r="B28" s="1">
        <f t="shared" si="3"/>
        <v>408</v>
      </c>
      <c r="C28" s="1">
        <f t="shared" si="0"/>
        <v>40.799999999999997</v>
      </c>
      <c r="D28">
        <v>60.03</v>
      </c>
      <c r="E28">
        <v>0.32</v>
      </c>
      <c r="F28">
        <v>534.33000000000004</v>
      </c>
      <c r="G28">
        <v>4.99</v>
      </c>
      <c r="L28">
        <f t="shared" si="1"/>
        <v>0.11234630284655549</v>
      </c>
      <c r="M28">
        <f t="shared" si="2"/>
        <v>8.9010494752623686</v>
      </c>
    </row>
    <row r="29" spans="1:14" ht="12.75" customHeight="1" x14ac:dyDescent="0.25">
      <c r="A29">
        <v>344</v>
      </c>
      <c r="B29" s="1">
        <f t="shared" si="3"/>
        <v>409</v>
      </c>
      <c r="C29" s="1">
        <f t="shared" si="0"/>
        <v>40.9</v>
      </c>
      <c r="D29">
        <v>69.8</v>
      </c>
      <c r="E29">
        <v>0.32</v>
      </c>
      <c r="F29">
        <v>534.62</v>
      </c>
      <c r="G29">
        <v>5.75</v>
      </c>
      <c r="L29">
        <f t="shared" si="1"/>
        <v>0.13056002394223934</v>
      </c>
      <c r="M29">
        <f t="shared" si="2"/>
        <v>7.6593123209169054</v>
      </c>
    </row>
    <row r="30" spans="1:14" ht="12.75" customHeight="1" x14ac:dyDescent="0.25">
      <c r="A30">
        <v>345</v>
      </c>
      <c r="B30" s="1">
        <f t="shared" si="3"/>
        <v>410</v>
      </c>
      <c r="C30" s="1">
        <f t="shared" si="0"/>
        <v>41</v>
      </c>
      <c r="D30">
        <v>85.92</v>
      </c>
      <c r="E30">
        <v>0.7</v>
      </c>
      <c r="F30">
        <v>539.27</v>
      </c>
      <c r="G30">
        <v>4.9800000000000004</v>
      </c>
      <c r="L30">
        <f t="shared" si="1"/>
        <v>0.1593264969310364</v>
      </c>
      <c r="M30">
        <f t="shared" si="2"/>
        <v>6.276419925512104</v>
      </c>
    </row>
    <row r="31" spans="1:14" ht="12.75" customHeight="1" x14ac:dyDescent="0.25">
      <c r="A31">
        <v>346</v>
      </c>
      <c r="B31" s="1">
        <f t="shared" si="3"/>
        <v>411</v>
      </c>
      <c r="C31" s="1">
        <f t="shared" si="0"/>
        <v>41.1</v>
      </c>
      <c r="D31">
        <v>100.65</v>
      </c>
      <c r="E31">
        <v>0.75</v>
      </c>
      <c r="F31">
        <v>537.46</v>
      </c>
      <c r="G31">
        <v>5.81</v>
      </c>
      <c r="L31">
        <f t="shared" si="1"/>
        <v>0.18726975030699958</v>
      </c>
      <c r="M31">
        <f t="shared" si="2"/>
        <v>5.3398907103825133</v>
      </c>
    </row>
    <row r="32" spans="1:14" ht="12.75" customHeight="1" x14ac:dyDescent="0.25">
      <c r="A32">
        <v>347</v>
      </c>
      <c r="B32" s="1">
        <f t="shared" si="3"/>
        <v>412</v>
      </c>
      <c r="C32" s="1">
        <f t="shared" si="0"/>
        <v>41.2</v>
      </c>
      <c r="D32">
        <v>124.42</v>
      </c>
      <c r="E32">
        <v>1.07</v>
      </c>
      <c r="F32">
        <v>536.24</v>
      </c>
      <c r="G32">
        <v>6.57</v>
      </c>
      <c r="L32">
        <f t="shared" si="1"/>
        <v>0.23202297478740863</v>
      </c>
      <c r="M32">
        <f t="shared" si="2"/>
        <v>4.3099180196109952</v>
      </c>
    </row>
    <row r="33" spans="1:22" ht="12.75" customHeight="1" x14ac:dyDescent="0.25">
      <c r="A33">
        <v>348</v>
      </c>
      <c r="B33" s="1">
        <f t="shared" si="3"/>
        <v>413</v>
      </c>
      <c r="C33" s="1">
        <f t="shared" si="0"/>
        <v>41.3</v>
      </c>
      <c r="D33">
        <v>150.78</v>
      </c>
      <c r="E33">
        <v>1.31</v>
      </c>
      <c r="F33">
        <v>536.95000000000005</v>
      </c>
      <c r="G33">
        <v>5.4</v>
      </c>
      <c r="L33">
        <f t="shared" si="1"/>
        <v>0.2808082689263432</v>
      </c>
      <c r="M33">
        <f t="shared" si="2"/>
        <v>3.5611486934606713</v>
      </c>
    </row>
    <row r="34" spans="1:22" ht="12.75" customHeight="1" x14ac:dyDescent="0.25">
      <c r="A34">
        <v>349</v>
      </c>
      <c r="B34" s="1">
        <f t="shared" si="3"/>
        <v>414</v>
      </c>
      <c r="C34" s="1">
        <f t="shared" si="0"/>
        <v>41.4</v>
      </c>
      <c r="D34">
        <v>178.07</v>
      </c>
      <c r="E34">
        <v>2.08</v>
      </c>
      <c r="F34">
        <v>537.05999999999995</v>
      </c>
      <c r="G34">
        <v>4.93</v>
      </c>
      <c r="L34">
        <f t="shared" si="1"/>
        <v>0.33156444345138347</v>
      </c>
      <c r="M34">
        <f t="shared" si="2"/>
        <v>3.01600494187679</v>
      </c>
    </row>
    <row r="35" spans="1:22" ht="12.75" customHeight="1" x14ac:dyDescent="0.25">
      <c r="A35">
        <v>350</v>
      </c>
      <c r="B35" s="1">
        <f t="shared" si="3"/>
        <v>415</v>
      </c>
      <c r="C35" s="1">
        <f t="shared" si="0"/>
        <v>41.5</v>
      </c>
      <c r="D35">
        <v>201.45</v>
      </c>
      <c r="E35">
        <v>2.4700000000000002</v>
      </c>
      <c r="F35">
        <v>538.02</v>
      </c>
      <c r="G35">
        <v>5.27</v>
      </c>
      <c r="H35" s="1"/>
      <c r="I35" s="1"/>
      <c r="L35">
        <f t="shared" si="1"/>
        <v>0.37442845990855356</v>
      </c>
      <c r="M35">
        <f t="shared" si="2"/>
        <v>2.6707371556217425</v>
      </c>
    </row>
    <row r="36" spans="1:22" ht="12.75" customHeight="1" x14ac:dyDescent="0.25">
      <c r="A36">
        <v>351</v>
      </c>
      <c r="B36" s="1">
        <f t="shared" si="3"/>
        <v>416</v>
      </c>
      <c r="C36" s="1">
        <f t="shared" si="0"/>
        <v>41.6</v>
      </c>
      <c r="D36">
        <v>231.46</v>
      </c>
      <c r="E36">
        <v>2.5299999999999998</v>
      </c>
      <c r="F36">
        <v>539.98</v>
      </c>
      <c r="G36">
        <v>5.81</v>
      </c>
      <c r="L36">
        <f t="shared" si="1"/>
        <v>0.42864550538908847</v>
      </c>
      <c r="M36">
        <f t="shared" si="2"/>
        <v>2.3329300959129009</v>
      </c>
    </row>
    <row r="37" spans="1:22" ht="12.75" customHeight="1" x14ac:dyDescent="0.25">
      <c r="A37">
        <v>352</v>
      </c>
      <c r="B37" s="1">
        <f t="shared" si="3"/>
        <v>417</v>
      </c>
      <c r="C37" s="1">
        <f t="shared" si="0"/>
        <v>41.7</v>
      </c>
      <c r="D37">
        <v>259.89999999999998</v>
      </c>
      <c r="E37">
        <v>2.95</v>
      </c>
      <c r="F37">
        <v>537.62</v>
      </c>
      <c r="G37">
        <v>5.63</v>
      </c>
      <c r="L37">
        <f t="shared" si="1"/>
        <v>0.48342695584241652</v>
      </c>
      <c r="M37">
        <f t="shared" si="2"/>
        <v>2.068564832627934</v>
      </c>
      <c r="V37" s="1"/>
    </row>
    <row r="38" spans="1:22" ht="12.75" customHeight="1" x14ac:dyDescent="0.25">
      <c r="A38">
        <v>353</v>
      </c>
      <c r="B38" s="1">
        <f t="shared" si="3"/>
        <v>418</v>
      </c>
      <c r="C38" s="1">
        <f t="shared" ref="C38:C42" si="4">B38/10</f>
        <v>41.8</v>
      </c>
      <c r="D38">
        <v>285.76</v>
      </c>
      <c r="E38">
        <v>4.0599999999999996</v>
      </c>
      <c r="F38">
        <v>539.28</v>
      </c>
      <c r="G38">
        <v>5.62</v>
      </c>
      <c r="J38" s="1"/>
      <c r="L38">
        <f t="shared" si="1"/>
        <v>0.52989170746180092</v>
      </c>
      <c r="M38">
        <f t="shared" si="2"/>
        <v>1.887178051511758</v>
      </c>
    </row>
    <row r="39" spans="1:22" ht="12.75" customHeight="1" x14ac:dyDescent="0.25">
      <c r="A39">
        <v>354</v>
      </c>
      <c r="B39" s="1">
        <f t="shared" si="3"/>
        <v>419</v>
      </c>
      <c r="C39" s="1">
        <f t="shared" si="4"/>
        <v>41.9</v>
      </c>
      <c r="D39">
        <v>315.83</v>
      </c>
      <c r="E39">
        <v>5.32</v>
      </c>
      <c r="F39">
        <v>540.14</v>
      </c>
      <c r="G39">
        <v>6.4</v>
      </c>
      <c r="L39">
        <f t="shared" si="1"/>
        <v>0.5847187766134706</v>
      </c>
      <c r="M39">
        <f t="shared" si="2"/>
        <v>1.7102238546053257</v>
      </c>
    </row>
    <row r="40" spans="1:22" ht="12.75" customHeight="1" x14ac:dyDescent="0.25">
      <c r="A40">
        <v>355</v>
      </c>
      <c r="B40" s="1">
        <f t="shared" si="3"/>
        <v>420</v>
      </c>
      <c r="C40" s="1">
        <f t="shared" si="4"/>
        <v>42</v>
      </c>
      <c r="D40">
        <v>345.87</v>
      </c>
      <c r="E40">
        <v>6.41</v>
      </c>
      <c r="F40">
        <v>541.27</v>
      </c>
      <c r="G40">
        <v>4.03</v>
      </c>
      <c r="L40">
        <f t="shared" si="1"/>
        <v>0.63899717331461192</v>
      </c>
      <c r="M40">
        <f t="shared" si="2"/>
        <v>1.5649521496516032</v>
      </c>
    </row>
    <row r="41" spans="1:22" ht="12.75" customHeight="1" x14ac:dyDescent="0.25">
      <c r="A41">
        <v>360</v>
      </c>
      <c r="B41" s="1">
        <f t="shared" si="3"/>
        <v>425</v>
      </c>
      <c r="C41" s="1">
        <f t="shared" si="4"/>
        <v>42.5</v>
      </c>
      <c r="D41">
        <v>484.83</v>
      </c>
      <c r="E41">
        <v>5.52</v>
      </c>
      <c r="F41">
        <v>546.13</v>
      </c>
      <c r="G41">
        <v>5.95</v>
      </c>
      <c r="L41">
        <f t="shared" si="1"/>
        <v>0.88775566257118266</v>
      </c>
      <c r="M41">
        <f t="shared" si="2"/>
        <v>1.126436070375183</v>
      </c>
      <c r="N41" s="1"/>
    </row>
    <row r="42" spans="1:22" ht="12.75" customHeight="1" x14ac:dyDescent="0.25">
      <c r="A42">
        <v>365</v>
      </c>
      <c r="B42" s="1">
        <f t="shared" si="3"/>
        <v>430</v>
      </c>
      <c r="C42" s="1">
        <f t="shared" si="4"/>
        <v>43</v>
      </c>
      <c r="D42">
        <v>636.63</v>
      </c>
      <c r="E42">
        <v>8.15</v>
      </c>
      <c r="F42">
        <v>545.69000000000005</v>
      </c>
      <c r="G42">
        <v>5.32</v>
      </c>
      <c r="L42">
        <f t="shared" si="1"/>
        <v>1.1666513954809505</v>
      </c>
      <c r="M42">
        <f t="shared" si="2"/>
        <v>0.85715407693636814</v>
      </c>
    </row>
    <row r="43" spans="1:22" ht="12.75" customHeight="1" x14ac:dyDescent="0.25">
      <c r="B43" s="1"/>
      <c r="C43" s="1"/>
    </row>
    <row r="44" spans="1:22" ht="12.75" customHeight="1" x14ac:dyDescent="0.25">
      <c r="B44" s="1"/>
      <c r="C44" s="1"/>
    </row>
    <row r="45" spans="1:22" ht="12.75" customHeight="1" x14ac:dyDescent="0.25">
      <c r="B45" s="1"/>
      <c r="C45" s="1"/>
    </row>
    <row r="46" spans="1:22" ht="12.75" customHeight="1" x14ac:dyDescent="0.25">
      <c r="B46" s="1"/>
    </row>
    <row r="47" spans="1:22" ht="12.75" customHeight="1" x14ac:dyDescent="0.25">
      <c r="B47" s="1"/>
    </row>
    <row r="48" spans="1:22" ht="12.75" customHeight="1" x14ac:dyDescent="0.25">
      <c r="B48" s="1"/>
    </row>
    <row r="49" spans="2:7" ht="12.75" customHeight="1" x14ac:dyDescent="0.25">
      <c r="B49" s="1"/>
    </row>
    <row r="50" spans="2:7" ht="12.75" customHeight="1" x14ac:dyDescent="0.25">
      <c r="B50" s="1"/>
    </row>
    <row r="51" spans="2:7" ht="12.75" customHeight="1" x14ac:dyDescent="0.25">
      <c r="B51" s="1"/>
    </row>
    <row r="52" spans="2:7" ht="12.75" customHeight="1" x14ac:dyDescent="0.25">
      <c r="B52" s="1"/>
    </row>
    <row r="55" spans="2:7" ht="13.2" x14ac:dyDescent="0.25">
      <c r="D55" s="21"/>
      <c r="E55" s="21"/>
      <c r="F55" s="21"/>
      <c r="G55" s="21"/>
    </row>
    <row r="70" spans="1:7" ht="13.2" x14ac:dyDescent="0.25">
      <c r="D70" s="21"/>
      <c r="E70" s="21"/>
      <c r="F70" s="21"/>
      <c r="G70" s="21"/>
    </row>
    <row r="71" spans="1:7" ht="12.75" customHeight="1" x14ac:dyDescent="0.25">
      <c r="A71" s="1"/>
    </row>
  </sheetData>
  <mergeCells count="9">
    <mergeCell ref="H11:K11"/>
    <mergeCell ref="D55:G55"/>
    <mergeCell ref="D70:G70"/>
    <mergeCell ref="B1:D1"/>
    <mergeCell ref="B2:D2"/>
    <mergeCell ref="B3:D3"/>
    <mergeCell ref="B9:G9"/>
    <mergeCell ref="B11:C11"/>
    <mergeCell ref="D11:G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1"/>
  <sheetViews>
    <sheetView tabSelected="1" workbookViewId="0">
      <selection activeCell="B13" sqref="B13"/>
    </sheetView>
  </sheetViews>
  <sheetFormatPr defaultColWidth="17.109375" defaultRowHeight="12.75" customHeight="1" x14ac:dyDescent="0.25"/>
  <cols>
    <col min="1" max="1" width="15.109375" bestFit="1" customWidth="1"/>
    <col min="2" max="2" width="9.44140625" bestFit="1" customWidth="1"/>
    <col min="3" max="3" width="8.6640625" bestFit="1" customWidth="1"/>
    <col min="4" max="4" width="17" bestFit="1" customWidth="1"/>
    <col min="5" max="5" width="15.109375" bestFit="1" customWidth="1"/>
    <col min="6" max="6" width="17.6640625" bestFit="1" customWidth="1"/>
    <col min="7" max="7" width="15.109375" bestFit="1" customWidth="1"/>
    <col min="8" max="8" width="15" bestFit="1" customWidth="1"/>
    <col min="9" max="10" width="15" customWidth="1"/>
    <col min="11" max="11" width="15.5546875" bestFit="1" customWidth="1"/>
    <col min="12" max="13" width="8.109375" customWidth="1"/>
    <col min="14" max="14" width="93.88671875" bestFit="1" customWidth="1"/>
  </cols>
  <sheetData>
    <row r="1" spans="1:14" ht="13.2" x14ac:dyDescent="0.25">
      <c r="A1" s="4" t="s">
        <v>0</v>
      </c>
      <c r="B1" s="22">
        <v>42242</v>
      </c>
      <c r="C1" s="22"/>
      <c r="D1" s="22"/>
      <c r="E1" s="2"/>
      <c r="F1" s="3"/>
      <c r="G1" s="3"/>
    </row>
    <row r="2" spans="1:14" ht="13.2" x14ac:dyDescent="0.25">
      <c r="A2" s="4" t="s">
        <v>17</v>
      </c>
      <c r="B2" s="23" t="s">
        <v>18</v>
      </c>
      <c r="C2" s="23"/>
      <c r="D2" s="23"/>
      <c r="E2" s="3"/>
      <c r="F2" s="3"/>
      <c r="G2" s="3"/>
    </row>
    <row r="3" spans="1:14" ht="13.2" x14ac:dyDescent="0.25">
      <c r="A3" s="4" t="s">
        <v>1</v>
      </c>
      <c r="B3" s="23" t="s">
        <v>19</v>
      </c>
      <c r="C3" s="24"/>
      <c r="D3" s="24"/>
      <c r="E3" s="3"/>
      <c r="F3" s="3"/>
      <c r="G3" s="3"/>
    </row>
    <row r="4" spans="1:14" ht="13.2" x14ac:dyDescent="0.25">
      <c r="A4" s="4" t="s">
        <v>3</v>
      </c>
      <c r="B4" s="18">
        <v>1064</v>
      </c>
      <c r="E4" s="3"/>
      <c r="F4" s="3"/>
      <c r="G4" s="3"/>
    </row>
    <row r="5" spans="1:14" ht="13.2" x14ac:dyDescent="0.25">
      <c r="A5" s="4" t="s">
        <v>10</v>
      </c>
      <c r="B5" s="17" t="s">
        <v>22</v>
      </c>
      <c r="E5" s="3"/>
      <c r="F5" s="3"/>
      <c r="G5" s="3"/>
    </row>
    <row r="6" spans="1:14" ht="26.4" x14ac:dyDescent="0.25">
      <c r="A6" s="4" t="s">
        <v>20</v>
      </c>
      <c r="B6" s="17" t="s">
        <v>31</v>
      </c>
      <c r="E6" s="3"/>
      <c r="F6" s="3"/>
      <c r="G6" s="3"/>
    </row>
    <row r="7" spans="1:14" ht="13.2" x14ac:dyDescent="0.25">
      <c r="A7" s="4" t="s">
        <v>15</v>
      </c>
      <c r="B7" s="17" t="s">
        <v>30</v>
      </c>
      <c r="E7" s="3"/>
      <c r="F7" s="3"/>
      <c r="G7" s="3"/>
    </row>
    <row r="8" spans="1:14" ht="26.4" x14ac:dyDescent="0.25">
      <c r="A8" s="4" t="s">
        <v>21</v>
      </c>
      <c r="B8" s="17">
        <v>90</v>
      </c>
      <c r="E8" s="3"/>
      <c r="F8" s="3"/>
      <c r="G8" s="3"/>
    </row>
    <row r="9" spans="1:14" ht="117.75" customHeight="1" x14ac:dyDescent="0.25">
      <c r="A9" s="4" t="s">
        <v>2</v>
      </c>
      <c r="B9" s="23" t="s">
        <v>41</v>
      </c>
      <c r="C9" s="24"/>
      <c r="D9" s="24"/>
      <c r="E9" s="24"/>
      <c r="F9" s="24"/>
      <c r="G9" s="24"/>
    </row>
    <row r="10" spans="1:14" ht="13.2" x14ac:dyDescent="0.25">
      <c r="A10" s="1"/>
    </row>
    <row r="11" spans="1:14" ht="13.2" x14ac:dyDescent="0.25">
      <c r="A11" s="1"/>
      <c r="B11" s="20" t="s">
        <v>7</v>
      </c>
      <c r="C11" s="20"/>
      <c r="D11" s="20" t="s">
        <v>6</v>
      </c>
      <c r="E11" s="20"/>
      <c r="F11" s="20"/>
      <c r="G11" s="20"/>
      <c r="H11" s="20" t="s">
        <v>5</v>
      </c>
      <c r="I11" s="20"/>
      <c r="J11" s="20"/>
      <c r="K11" s="20"/>
      <c r="L11" s="16"/>
      <c r="M11" s="16"/>
    </row>
    <row r="12" spans="1:14" ht="26.4" x14ac:dyDescent="0.25">
      <c r="A12" s="4" t="s">
        <v>4</v>
      </c>
      <c r="B12" s="4" t="s">
        <v>11</v>
      </c>
      <c r="C12" s="4" t="s">
        <v>12</v>
      </c>
      <c r="D12" s="4" t="s">
        <v>23</v>
      </c>
      <c r="E12" s="4" t="s">
        <v>25</v>
      </c>
      <c r="F12" s="4" t="s">
        <v>24</v>
      </c>
      <c r="G12" s="4" t="s">
        <v>26</v>
      </c>
      <c r="H12" s="4" t="s">
        <v>13</v>
      </c>
      <c r="I12" s="4" t="s">
        <v>27</v>
      </c>
      <c r="J12" s="4" t="s">
        <v>14</v>
      </c>
      <c r="K12" s="4" t="s">
        <v>28</v>
      </c>
      <c r="L12" s="4" t="s">
        <v>8</v>
      </c>
      <c r="M12" s="4" t="s">
        <v>9</v>
      </c>
      <c r="N12" s="4" t="s">
        <v>2</v>
      </c>
    </row>
    <row r="13" spans="1:14" ht="12.75" customHeight="1" x14ac:dyDescent="0.25">
      <c r="A13">
        <v>320</v>
      </c>
      <c r="B13" s="1">
        <f>A13+(65)+(-57+7.2)</f>
        <v>335.2</v>
      </c>
      <c r="C13" s="1">
        <f t="shared" ref="C13:C42" si="0">B13/10</f>
        <v>33.519999999999996</v>
      </c>
      <c r="D13">
        <v>672.42</v>
      </c>
      <c r="E13">
        <v>4.63</v>
      </c>
      <c r="F13">
        <v>527.6</v>
      </c>
      <c r="G13">
        <v>5.91</v>
      </c>
      <c r="H13" s="1"/>
      <c r="I13" s="1"/>
      <c r="L13" s="1">
        <f t="shared" ref="L13:L42" si="1">D13/F13</f>
        <v>1.2744882486732372</v>
      </c>
      <c r="M13" s="1">
        <f t="shared" ref="M13:M42" si="2">F13/D13</f>
        <v>0.78462865470985399</v>
      </c>
      <c r="N13" s="1"/>
    </row>
    <row r="14" spans="1:14" ht="12.75" customHeight="1" x14ac:dyDescent="0.25">
      <c r="A14">
        <v>325</v>
      </c>
      <c r="B14" s="1">
        <f t="shared" ref="B14:B42" si="3">A14+(65)+(-57+7.2)</f>
        <v>340.2</v>
      </c>
      <c r="C14" s="1">
        <f t="shared" si="0"/>
        <v>34.019999999999996</v>
      </c>
      <c r="D14">
        <v>533.1</v>
      </c>
      <c r="E14">
        <v>2.86</v>
      </c>
      <c r="F14">
        <v>529.35</v>
      </c>
      <c r="G14">
        <v>7.17</v>
      </c>
      <c r="H14" s="1"/>
      <c r="I14" s="1"/>
      <c r="L14" s="1">
        <f t="shared" si="1"/>
        <v>1.0070841598186455</v>
      </c>
      <c r="M14" s="1">
        <f t="shared" si="2"/>
        <v>0.99296567248171075</v>
      </c>
      <c r="N14" s="1"/>
    </row>
    <row r="15" spans="1:14" ht="12.75" customHeight="1" x14ac:dyDescent="0.25">
      <c r="A15">
        <v>330</v>
      </c>
      <c r="B15" s="1">
        <f t="shared" si="3"/>
        <v>345.2</v>
      </c>
      <c r="C15" s="1">
        <f t="shared" si="0"/>
        <v>34.519999999999996</v>
      </c>
      <c r="D15">
        <v>387.34</v>
      </c>
      <c r="E15">
        <v>2.58</v>
      </c>
      <c r="F15">
        <v>529.87</v>
      </c>
      <c r="G15">
        <v>7.04</v>
      </c>
      <c r="H15" s="1"/>
      <c r="I15" s="1"/>
      <c r="J15" s="1"/>
      <c r="L15" s="1">
        <f t="shared" si="1"/>
        <v>0.73100949289448347</v>
      </c>
      <c r="M15" s="1">
        <f t="shared" si="2"/>
        <v>1.3679712913719213</v>
      </c>
      <c r="N15" s="1"/>
    </row>
    <row r="16" spans="1:14" ht="12.75" customHeight="1" x14ac:dyDescent="0.25">
      <c r="A16">
        <v>331</v>
      </c>
      <c r="B16" s="1">
        <f t="shared" si="3"/>
        <v>346.2</v>
      </c>
      <c r="C16" s="1">
        <f t="shared" si="0"/>
        <v>34.619999999999997</v>
      </c>
      <c r="D16">
        <v>352.57</v>
      </c>
      <c r="E16">
        <v>2.0499999999999998</v>
      </c>
      <c r="F16">
        <v>530.70000000000005</v>
      </c>
      <c r="G16">
        <v>6.3</v>
      </c>
      <c r="H16" s="1"/>
      <c r="I16" s="1"/>
      <c r="L16" s="1">
        <f t="shared" si="1"/>
        <v>0.66434897305445628</v>
      </c>
      <c r="M16" s="1">
        <f t="shared" si="2"/>
        <v>1.5052330033752164</v>
      </c>
      <c r="N16" s="1"/>
    </row>
    <row r="17" spans="1:14" ht="12.75" customHeight="1" x14ac:dyDescent="0.25">
      <c r="A17">
        <v>332</v>
      </c>
      <c r="B17" s="1">
        <f t="shared" si="3"/>
        <v>347.2</v>
      </c>
      <c r="C17" s="1">
        <f t="shared" si="0"/>
        <v>34.72</v>
      </c>
      <c r="D17">
        <v>323.58</v>
      </c>
      <c r="E17">
        <v>2</v>
      </c>
      <c r="F17">
        <v>530.24</v>
      </c>
      <c r="G17">
        <v>6.83</v>
      </c>
      <c r="H17" s="1"/>
      <c r="I17" s="1"/>
      <c r="L17" s="1">
        <f t="shared" si="1"/>
        <v>0.6102519613759807</v>
      </c>
      <c r="M17" s="1">
        <f t="shared" si="2"/>
        <v>1.6386674083688733</v>
      </c>
      <c r="N17" s="1"/>
    </row>
    <row r="18" spans="1:14" ht="12.75" customHeight="1" x14ac:dyDescent="0.25">
      <c r="A18">
        <v>333</v>
      </c>
      <c r="B18" s="1">
        <f t="shared" si="3"/>
        <v>348.2</v>
      </c>
      <c r="C18" s="1">
        <f t="shared" si="0"/>
        <v>34.82</v>
      </c>
      <c r="D18">
        <v>288.42</v>
      </c>
      <c r="E18">
        <v>1.53</v>
      </c>
      <c r="F18">
        <v>532.88</v>
      </c>
      <c r="G18">
        <v>6.38</v>
      </c>
      <c r="H18" s="1"/>
      <c r="I18" s="1"/>
      <c r="L18" s="1">
        <f t="shared" si="1"/>
        <v>0.54124756042636246</v>
      </c>
      <c r="M18" s="1">
        <f t="shared" si="2"/>
        <v>1.8475833853408223</v>
      </c>
      <c r="N18" s="1"/>
    </row>
    <row r="19" spans="1:14" ht="12.75" customHeight="1" x14ac:dyDescent="0.25">
      <c r="A19">
        <v>334</v>
      </c>
      <c r="B19" s="1">
        <f t="shared" si="3"/>
        <v>349.2</v>
      </c>
      <c r="C19" s="1">
        <f t="shared" si="0"/>
        <v>34.92</v>
      </c>
      <c r="D19">
        <v>259.14999999999998</v>
      </c>
      <c r="E19">
        <v>1.24</v>
      </c>
      <c r="F19">
        <v>531.48</v>
      </c>
      <c r="G19">
        <v>6.22</v>
      </c>
      <c r="H19" s="1"/>
      <c r="I19" s="1"/>
      <c r="L19" s="1">
        <f t="shared" si="1"/>
        <v>0.48760066230149762</v>
      </c>
      <c r="M19" s="1">
        <f t="shared" si="2"/>
        <v>2.0508585761142197</v>
      </c>
      <c r="N19" s="1"/>
    </row>
    <row r="20" spans="1:14" ht="12.75" customHeight="1" x14ac:dyDescent="0.25">
      <c r="A20">
        <v>335</v>
      </c>
      <c r="B20" s="1">
        <f t="shared" si="3"/>
        <v>350.2</v>
      </c>
      <c r="C20" s="1">
        <f t="shared" si="0"/>
        <v>35.019999999999996</v>
      </c>
      <c r="D20">
        <v>230.46</v>
      </c>
      <c r="E20">
        <v>1.03</v>
      </c>
      <c r="F20">
        <v>530.82000000000005</v>
      </c>
      <c r="G20">
        <v>6.04</v>
      </c>
      <c r="H20" s="1"/>
      <c r="I20" s="1"/>
      <c r="L20" s="1">
        <f t="shared" si="1"/>
        <v>0.43415847179834971</v>
      </c>
      <c r="M20" s="1">
        <f t="shared" si="2"/>
        <v>2.303306430617027</v>
      </c>
      <c r="N20" s="1"/>
    </row>
    <row r="21" spans="1:14" ht="12.75" customHeight="1" x14ac:dyDescent="0.25">
      <c r="A21">
        <v>336</v>
      </c>
      <c r="B21" s="1">
        <f t="shared" si="3"/>
        <v>351.2</v>
      </c>
      <c r="C21" s="1">
        <f t="shared" si="0"/>
        <v>35.119999999999997</v>
      </c>
      <c r="D21">
        <v>200.24</v>
      </c>
      <c r="E21">
        <v>0.72</v>
      </c>
      <c r="F21">
        <v>531.41999999999996</v>
      </c>
      <c r="G21">
        <v>5.58</v>
      </c>
      <c r="J21" s="1"/>
      <c r="L21" s="1">
        <f t="shared" si="1"/>
        <v>0.37680177637273726</v>
      </c>
      <c r="M21" s="1">
        <f t="shared" si="2"/>
        <v>2.6539153016380341</v>
      </c>
      <c r="N21" s="1"/>
    </row>
    <row r="22" spans="1:14" ht="12.75" customHeight="1" x14ac:dyDescent="0.25">
      <c r="A22">
        <v>337</v>
      </c>
      <c r="B22" s="1">
        <f t="shared" si="3"/>
        <v>352.2</v>
      </c>
      <c r="C22" s="1">
        <f t="shared" si="0"/>
        <v>35.22</v>
      </c>
      <c r="D22">
        <v>171.85</v>
      </c>
      <c r="E22">
        <v>0.78</v>
      </c>
      <c r="F22">
        <v>529.97</v>
      </c>
      <c r="G22">
        <v>5.57</v>
      </c>
      <c r="L22" s="1">
        <f t="shared" si="1"/>
        <v>0.32426363756439042</v>
      </c>
      <c r="M22" s="1">
        <f t="shared" si="2"/>
        <v>3.083910386965377</v>
      </c>
      <c r="N22" s="1" t="s">
        <v>32</v>
      </c>
    </row>
    <row r="23" spans="1:14" ht="12.75" customHeight="1" x14ac:dyDescent="0.25">
      <c r="A23">
        <v>338</v>
      </c>
      <c r="B23" s="1">
        <f t="shared" si="3"/>
        <v>353.2</v>
      </c>
      <c r="C23" s="1">
        <f t="shared" si="0"/>
        <v>35.32</v>
      </c>
      <c r="D23">
        <v>145.31</v>
      </c>
      <c r="E23" s="1">
        <v>0.6</v>
      </c>
      <c r="F23">
        <v>532.57000000000005</v>
      </c>
      <c r="G23">
        <v>5.14</v>
      </c>
      <c r="L23" s="1">
        <f t="shared" si="1"/>
        <v>0.27284676192800944</v>
      </c>
      <c r="M23" s="1">
        <f t="shared" si="2"/>
        <v>3.6650609042736222</v>
      </c>
      <c r="N23" s="1" t="s">
        <v>34</v>
      </c>
    </row>
    <row r="24" spans="1:14" ht="12.75" customHeight="1" x14ac:dyDescent="0.25">
      <c r="A24">
        <v>339</v>
      </c>
      <c r="B24" s="1">
        <f t="shared" si="3"/>
        <v>354.2</v>
      </c>
      <c r="C24" s="1">
        <f t="shared" si="0"/>
        <v>35.42</v>
      </c>
      <c r="D24">
        <v>121.16</v>
      </c>
      <c r="E24">
        <v>0.47</v>
      </c>
      <c r="F24">
        <v>534.70000000000005</v>
      </c>
      <c r="G24">
        <v>6.09</v>
      </c>
      <c r="L24">
        <f t="shared" si="1"/>
        <v>0.22659435197306899</v>
      </c>
      <c r="M24">
        <f t="shared" si="2"/>
        <v>4.4131726642456259</v>
      </c>
      <c r="N24" s="1" t="s">
        <v>33</v>
      </c>
    </row>
    <row r="25" spans="1:14" ht="12.75" customHeight="1" x14ac:dyDescent="0.25">
      <c r="A25">
        <v>340</v>
      </c>
      <c r="B25" s="1">
        <f t="shared" si="3"/>
        <v>355.2</v>
      </c>
      <c r="C25" s="1">
        <f t="shared" si="0"/>
        <v>35.519999999999996</v>
      </c>
      <c r="D25">
        <v>96.55</v>
      </c>
      <c r="E25">
        <v>0.42</v>
      </c>
      <c r="F25">
        <v>532.98</v>
      </c>
      <c r="G25">
        <v>4.8600000000000003</v>
      </c>
      <c r="L25">
        <f t="shared" si="1"/>
        <v>0.18115126271154638</v>
      </c>
      <c r="M25">
        <f t="shared" si="2"/>
        <v>5.5202485758674262</v>
      </c>
      <c r="N25" s="1" t="s">
        <v>35</v>
      </c>
    </row>
    <row r="26" spans="1:14" ht="12.75" customHeight="1" x14ac:dyDescent="0.25">
      <c r="A26">
        <v>341</v>
      </c>
      <c r="B26" s="1">
        <f t="shared" si="3"/>
        <v>356.2</v>
      </c>
      <c r="C26" s="1">
        <f t="shared" si="0"/>
        <v>35.619999999999997</v>
      </c>
      <c r="D26">
        <v>74.42</v>
      </c>
      <c r="E26">
        <v>0.46</v>
      </c>
      <c r="F26">
        <v>535.15</v>
      </c>
      <c r="G26">
        <v>5.95</v>
      </c>
      <c r="L26">
        <f t="shared" si="1"/>
        <v>0.13906381388395778</v>
      </c>
      <c r="M26">
        <f t="shared" si="2"/>
        <v>7.1909432948132217</v>
      </c>
      <c r="N26" s="1"/>
    </row>
    <row r="27" spans="1:14" ht="12.75" customHeight="1" x14ac:dyDescent="0.25">
      <c r="A27">
        <v>342</v>
      </c>
      <c r="B27" s="1">
        <f t="shared" si="3"/>
        <v>357.2</v>
      </c>
      <c r="C27" s="1">
        <f t="shared" si="0"/>
        <v>35.72</v>
      </c>
      <c r="D27">
        <v>57.43</v>
      </c>
      <c r="E27">
        <v>0.23</v>
      </c>
      <c r="F27">
        <v>533.91</v>
      </c>
      <c r="G27">
        <v>4.75</v>
      </c>
      <c r="L27">
        <f t="shared" si="1"/>
        <v>0.10756494540278325</v>
      </c>
      <c r="M27">
        <f t="shared" si="2"/>
        <v>9.2967090370886289</v>
      </c>
      <c r="N27" s="1"/>
    </row>
    <row r="28" spans="1:14" ht="12.75" customHeight="1" x14ac:dyDescent="0.25">
      <c r="A28">
        <v>343</v>
      </c>
      <c r="B28" s="1">
        <f t="shared" si="3"/>
        <v>358.2</v>
      </c>
      <c r="C28" s="1">
        <f t="shared" si="0"/>
        <v>35.82</v>
      </c>
      <c r="D28">
        <v>60.03</v>
      </c>
      <c r="E28">
        <v>0.32</v>
      </c>
      <c r="F28">
        <v>534.33000000000004</v>
      </c>
      <c r="G28">
        <v>4.99</v>
      </c>
      <c r="L28">
        <f t="shared" si="1"/>
        <v>0.11234630284655549</v>
      </c>
      <c r="M28">
        <f t="shared" si="2"/>
        <v>8.9010494752623686</v>
      </c>
    </row>
    <row r="29" spans="1:14" ht="12.75" customHeight="1" x14ac:dyDescent="0.25">
      <c r="A29">
        <v>344</v>
      </c>
      <c r="B29" s="1">
        <f t="shared" si="3"/>
        <v>359.2</v>
      </c>
      <c r="C29" s="1">
        <f t="shared" si="0"/>
        <v>35.92</v>
      </c>
      <c r="D29">
        <v>69.8</v>
      </c>
      <c r="E29">
        <v>0.32</v>
      </c>
      <c r="F29">
        <v>534.62</v>
      </c>
      <c r="G29">
        <v>5.75</v>
      </c>
      <c r="L29">
        <f t="shared" si="1"/>
        <v>0.13056002394223934</v>
      </c>
      <c r="M29">
        <f t="shared" si="2"/>
        <v>7.6593123209169054</v>
      </c>
    </row>
    <row r="30" spans="1:14" ht="12.75" customHeight="1" x14ac:dyDescent="0.25">
      <c r="A30">
        <v>345</v>
      </c>
      <c r="B30" s="1">
        <f t="shared" si="3"/>
        <v>360.2</v>
      </c>
      <c r="C30" s="1">
        <f t="shared" si="0"/>
        <v>36.019999999999996</v>
      </c>
      <c r="D30">
        <v>85.92</v>
      </c>
      <c r="E30">
        <v>0.7</v>
      </c>
      <c r="F30">
        <v>539.27</v>
      </c>
      <c r="G30">
        <v>4.9800000000000004</v>
      </c>
      <c r="L30">
        <f t="shared" si="1"/>
        <v>0.1593264969310364</v>
      </c>
      <c r="M30">
        <f t="shared" si="2"/>
        <v>6.276419925512104</v>
      </c>
    </row>
    <row r="31" spans="1:14" ht="12.75" customHeight="1" x14ac:dyDescent="0.25">
      <c r="A31">
        <v>346</v>
      </c>
      <c r="B31" s="1">
        <f t="shared" si="3"/>
        <v>361.2</v>
      </c>
      <c r="C31" s="1">
        <f t="shared" si="0"/>
        <v>36.119999999999997</v>
      </c>
      <c r="D31">
        <v>100.65</v>
      </c>
      <c r="E31">
        <v>0.75</v>
      </c>
      <c r="F31">
        <v>537.46</v>
      </c>
      <c r="G31">
        <v>5.81</v>
      </c>
      <c r="L31">
        <f t="shared" si="1"/>
        <v>0.18726975030699958</v>
      </c>
      <c r="M31">
        <f t="shared" si="2"/>
        <v>5.3398907103825133</v>
      </c>
    </row>
    <row r="32" spans="1:14" ht="12.75" customHeight="1" x14ac:dyDescent="0.25">
      <c r="A32">
        <v>347</v>
      </c>
      <c r="B32" s="1">
        <f t="shared" si="3"/>
        <v>362.2</v>
      </c>
      <c r="C32" s="1">
        <f t="shared" si="0"/>
        <v>36.22</v>
      </c>
      <c r="D32">
        <v>124.42</v>
      </c>
      <c r="E32">
        <v>1.07</v>
      </c>
      <c r="F32">
        <v>536.24</v>
      </c>
      <c r="G32">
        <v>6.57</v>
      </c>
      <c r="L32">
        <f t="shared" si="1"/>
        <v>0.23202297478740863</v>
      </c>
      <c r="M32">
        <f t="shared" si="2"/>
        <v>4.3099180196109952</v>
      </c>
    </row>
    <row r="33" spans="1:22" ht="12.75" customHeight="1" x14ac:dyDescent="0.25">
      <c r="A33">
        <v>348</v>
      </c>
      <c r="B33" s="1">
        <f t="shared" si="3"/>
        <v>363.2</v>
      </c>
      <c r="C33" s="1">
        <f t="shared" si="0"/>
        <v>36.32</v>
      </c>
      <c r="D33">
        <v>150.78</v>
      </c>
      <c r="E33">
        <v>1.31</v>
      </c>
      <c r="F33">
        <v>536.95000000000005</v>
      </c>
      <c r="G33">
        <v>5.4</v>
      </c>
      <c r="L33">
        <f t="shared" si="1"/>
        <v>0.2808082689263432</v>
      </c>
      <c r="M33">
        <f t="shared" si="2"/>
        <v>3.5611486934606713</v>
      </c>
    </row>
    <row r="34" spans="1:22" ht="12.75" customHeight="1" x14ac:dyDescent="0.25">
      <c r="A34">
        <v>349</v>
      </c>
      <c r="B34" s="1">
        <f t="shared" si="3"/>
        <v>364.2</v>
      </c>
      <c r="C34" s="1">
        <f t="shared" si="0"/>
        <v>36.42</v>
      </c>
      <c r="D34">
        <v>178.07</v>
      </c>
      <c r="E34">
        <v>2.08</v>
      </c>
      <c r="F34">
        <v>537.05999999999995</v>
      </c>
      <c r="G34">
        <v>4.93</v>
      </c>
      <c r="L34">
        <f t="shared" si="1"/>
        <v>0.33156444345138347</v>
      </c>
      <c r="M34">
        <f t="shared" si="2"/>
        <v>3.01600494187679</v>
      </c>
    </row>
    <row r="35" spans="1:22" ht="12.75" customHeight="1" x14ac:dyDescent="0.25">
      <c r="A35">
        <v>350</v>
      </c>
      <c r="B35" s="1">
        <f t="shared" si="3"/>
        <v>365.2</v>
      </c>
      <c r="C35" s="1">
        <f t="shared" si="0"/>
        <v>36.519999999999996</v>
      </c>
      <c r="D35">
        <v>201.45</v>
      </c>
      <c r="E35">
        <v>2.4700000000000002</v>
      </c>
      <c r="F35">
        <v>538.02</v>
      </c>
      <c r="G35">
        <v>5.27</v>
      </c>
      <c r="H35" s="1"/>
      <c r="I35" s="1"/>
      <c r="L35">
        <f t="shared" si="1"/>
        <v>0.37442845990855356</v>
      </c>
      <c r="M35">
        <f t="shared" si="2"/>
        <v>2.6707371556217425</v>
      </c>
    </row>
    <row r="36" spans="1:22" ht="12.75" customHeight="1" x14ac:dyDescent="0.25">
      <c r="A36">
        <v>351</v>
      </c>
      <c r="B36" s="1">
        <f t="shared" si="3"/>
        <v>366.2</v>
      </c>
      <c r="C36" s="1">
        <f t="shared" si="0"/>
        <v>36.619999999999997</v>
      </c>
      <c r="D36">
        <v>231.46</v>
      </c>
      <c r="E36">
        <v>2.5299999999999998</v>
      </c>
      <c r="F36">
        <v>539.98</v>
      </c>
      <c r="G36">
        <v>5.81</v>
      </c>
      <c r="L36">
        <f t="shared" si="1"/>
        <v>0.42864550538908847</v>
      </c>
      <c r="M36">
        <f t="shared" si="2"/>
        <v>2.3329300959129009</v>
      </c>
    </row>
    <row r="37" spans="1:22" ht="12.75" customHeight="1" x14ac:dyDescent="0.25">
      <c r="A37">
        <v>352</v>
      </c>
      <c r="B37" s="1">
        <f t="shared" si="3"/>
        <v>367.2</v>
      </c>
      <c r="C37" s="1">
        <f t="shared" si="0"/>
        <v>36.72</v>
      </c>
      <c r="D37">
        <v>259.89999999999998</v>
      </c>
      <c r="E37">
        <v>2.95</v>
      </c>
      <c r="F37">
        <v>537.62</v>
      </c>
      <c r="G37">
        <v>5.63</v>
      </c>
      <c r="L37">
        <f t="shared" si="1"/>
        <v>0.48342695584241652</v>
      </c>
      <c r="M37">
        <f t="shared" si="2"/>
        <v>2.068564832627934</v>
      </c>
      <c r="V37" s="1"/>
    </row>
    <row r="38" spans="1:22" ht="12.75" customHeight="1" x14ac:dyDescent="0.25">
      <c r="A38">
        <v>353</v>
      </c>
      <c r="B38" s="1">
        <f t="shared" si="3"/>
        <v>368.2</v>
      </c>
      <c r="C38" s="1">
        <f t="shared" si="0"/>
        <v>36.82</v>
      </c>
      <c r="D38">
        <v>285.76</v>
      </c>
      <c r="E38">
        <v>4.0599999999999996</v>
      </c>
      <c r="F38">
        <v>539.28</v>
      </c>
      <c r="G38">
        <v>5.62</v>
      </c>
      <c r="J38" s="1"/>
      <c r="L38">
        <f t="shared" si="1"/>
        <v>0.52989170746180092</v>
      </c>
      <c r="M38">
        <f t="shared" si="2"/>
        <v>1.887178051511758</v>
      </c>
    </row>
    <row r="39" spans="1:22" ht="12.75" customHeight="1" x14ac:dyDescent="0.25">
      <c r="A39">
        <v>354</v>
      </c>
      <c r="B39" s="1">
        <f t="shared" si="3"/>
        <v>369.2</v>
      </c>
      <c r="C39" s="1">
        <f t="shared" si="0"/>
        <v>36.92</v>
      </c>
      <c r="D39">
        <v>315.83</v>
      </c>
      <c r="E39">
        <v>5.32</v>
      </c>
      <c r="F39">
        <v>540.14</v>
      </c>
      <c r="G39">
        <v>6.4</v>
      </c>
      <c r="L39">
        <f t="shared" si="1"/>
        <v>0.5847187766134706</v>
      </c>
      <c r="M39">
        <f t="shared" si="2"/>
        <v>1.7102238546053257</v>
      </c>
    </row>
    <row r="40" spans="1:22" ht="12.75" customHeight="1" x14ac:dyDescent="0.25">
      <c r="A40">
        <v>355</v>
      </c>
      <c r="B40" s="1">
        <f t="shared" si="3"/>
        <v>370.2</v>
      </c>
      <c r="C40" s="1">
        <f t="shared" si="0"/>
        <v>37.019999999999996</v>
      </c>
      <c r="D40">
        <v>345.87</v>
      </c>
      <c r="E40">
        <v>6.41</v>
      </c>
      <c r="F40">
        <v>541.27</v>
      </c>
      <c r="G40">
        <v>4.03</v>
      </c>
      <c r="L40">
        <f t="shared" si="1"/>
        <v>0.63899717331461192</v>
      </c>
      <c r="M40">
        <f t="shared" si="2"/>
        <v>1.5649521496516032</v>
      </c>
    </row>
    <row r="41" spans="1:22" ht="12.75" customHeight="1" x14ac:dyDescent="0.25">
      <c r="A41">
        <v>360</v>
      </c>
      <c r="B41" s="1">
        <f t="shared" si="3"/>
        <v>375.2</v>
      </c>
      <c r="C41" s="1">
        <f t="shared" si="0"/>
        <v>37.519999999999996</v>
      </c>
      <c r="D41">
        <v>484.83</v>
      </c>
      <c r="E41">
        <v>5.52</v>
      </c>
      <c r="F41">
        <v>546.13</v>
      </c>
      <c r="G41">
        <v>5.95</v>
      </c>
      <c r="L41">
        <f t="shared" si="1"/>
        <v>0.88775566257118266</v>
      </c>
      <c r="M41">
        <f t="shared" si="2"/>
        <v>1.126436070375183</v>
      </c>
      <c r="N41" s="1"/>
    </row>
    <row r="42" spans="1:22" ht="12.75" customHeight="1" x14ac:dyDescent="0.25">
      <c r="A42">
        <v>365</v>
      </c>
      <c r="B42" s="1">
        <f t="shared" si="3"/>
        <v>380.2</v>
      </c>
      <c r="C42" s="1">
        <f t="shared" si="0"/>
        <v>38.019999999999996</v>
      </c>
      <c r="D42">
        <v>636.63</v>
      </c>
      <c r="E42">
        <v>8.15</v>
      </c>
      <c r="F42">
        <v>545.69000000000005</v>
      </c>
      <c r="G42">
        <v>5.32</v>
      </c>
      <c r="L42">
        <f t="shared" si="1"/>
        <v>1.1666513954809505</v>
      </c>
      <c r="M42">
        <f t="shared" si="2"/>
        <v>0.85715407693636814</v>
      </c>
    </row>
    <row r="43" spans="1:22" ht="12.75" customHeight="1" x14ac:dyDescent="0.25">
      <c r="B43" s="1"/>
      <c r="C43" s="1"/>
    </row>
    <row r="44" spans="1:22" ht="12.75" customHeight="1" x14ac:dyDescent="0.25">
      <c r="B44" s="1"/>
      <c r="C44" s="1"/>
    </row>
    <row r="45" spans="1:22" ht="12.75" customHeight="1" x14ac:dyDescent="0.25">
      <c r="B45" s="1"/>
      <c r="C45" s="1"/>
    </row>
    <row r="46" spans="1:22" ht="12.75" customHeight="1" x14ac:dyDescent="0.25">
      <c r="B46" s="1"/>
    </row>
    <row r="47" spans="1:22" ht="12.75" customHeight="1" x14ac:dyDescent="0.25">
      <c r="B47" s="1"/>
    </row>
    <row r="48" spans="1:22" ht="12.75" customHeight="1" x14ac:dyDescent="0.25">
      <c r="B48" s="1"/>
    </row>
    <row r="49" spans="2:7" ht="12.75" customHeight="1" x14ac:dyDescent="0.25">
      <c r="B49" s="1"/>
    </row>
    <row r="50" spans="2:7" ht="12.75" customHeight="1" x14ac:dyDescent="0.25">
      <c r="B50" s="1"/>
    </row>
    <row r="51" spans="2:7" ht="12.75" customHeight="1" x14ac:dyDescent="0.25">
      <c r="B51" s="1"/>
    </row>
    <row r="52" spans="2:7" ht="12.75" customHeight="1" x14ac:dyDescent="0.25">
      <c r="B52" s="1"/>
    </row>
    <row r="55" spans="2:7" ht="13.2" x14ac:dyDescent="0.25">
      <c r="D55" s="21"/>
      <c r="E55" s="21"/>
      <c r="F55" s="21"/>
      <c r="G55" s="21"/>
    </row>
    <row r="70" spans="1:7" ht="13.2" x14ac:dyDescent="0.25">
      <c r="D70" s="21"/>
      <c r="E70" s="21"/>
      <c r="F70" s="21"/>
      <c r="G70" s="21"/>
    </row>
    <row r="71" spans="1:7" ht="12.75" customHeight="1" x14ac:dyDescent="0.25">
      <c r="A71" s="1"/>
    </row>
  </sheetData>
  <mergeCells count="9">
    <mergeCell ref="H11:K11"/>
    <mergeCell ref="D55:G55"/>
    <mergeCell ref="D70:G70"/>
    <mergeCell ref="B1:D1"/>
    <mergeCell ref="B2:D2"/>
    <mergeCell ref="B3:D3"/>
    <mergeCell ref="B9:G9"/>
    <mergeCell ref="B11:C11"/>
    <mergeCell ref="D11:G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C1A20-A594-400D-AE58-B9A2905E095C}">
  <dimension ref="A1:G31"/>
  <sheetViews>
    <sheetView workbookViewId="0">
      <selection activeCell="A2" sqref="A2:G31"/>
    </sheetView>
  </sheetViews>
  <sheetFormatPr defaultRowHeight="13.2" x14ac:dyDescent="0.25"/>
  <sheetData>
    <row r="1" spans="1:7" ht="40.200000000000003" thickBot="1" x14ac:dyDescent="0.3">
      <c r="A1" s="19" t="s">
        <v>43</v>
      </c>
      <c r="B1" s="19" t="s">
        <v>44</v>
      </c>
      <c r="C1" s="19" t="s">
        <v>45</v>
      </c>
      <c r="D1" s="19" t="s">
        <v>23</v>
      </c>
      <c r="E1" s="19" t="s">
        <v>25</v>
      </c>
      <c r="F1" s="19" t="s">
        <v>24</v>
      </c>
      <c r="G1" s="19" t="s">
        <v>26</v>
      </c>
    </row>
    <row r="2" spans="1:7" x14ac:dyDescent="0.25">
      <c r="A2">
        <v>320</v>
      </c>
      <c r="B2" s="1">
        <f>A2+(65)+(-57+7.2)</f>
        <v>335.2</v>
      </c>
      <c r="C2" s="1">
        <f t="shared" ref="C2:C31" si="0">B2/10</f>
        <v>33.519999999999996</v>
      </c>
      <c r="D2">
        <v>672.42</v>
      </c>
      <c r="E2">
        <v>4.63</v>
      </c>
      <c r="F2">
        <v>527.6</v>
      </c>
      <c r="G2">
        <v>5.91</v>
      </c>
    </row>
    <row r="3" spans="1:7" x14ac:dyDescent="0.25">
      <c r="A3">
        <v>325</v>
      </c>
      <c r="B3" s="1">
        <f t="shared" ref="B3:B31" si="1">A3+(65)+(-57+7.2)</f>
        <v>340.2</v>
      </c>
      <c r="C3" s="1">
        <f t="shared" si="0"/>
        <v>34.019999999999996</v>
      </c>
      <c r="D3">
        <v>533.1</v>
      </c>
      <c r="E3">
        <v>2.86</v>
      </c>
      <c r="F3">
        <v>529.35</v>
      </c>
      <c r="G3">
        <v>7.17</v>
      </c>
    </row>
    <row r="4" spans="1:7" x14ac:dyDescent="0.25">
      <c r="A4">
        <v>330</v>
      </c>
      <c r="B4" s="1">
        <f t="shared" si="1"/>
        <v>345.2</v>
      </c>
      <c r="C4" s="1">
        <f t="shared" si="0"/>
        <v>34.519999999999996</v>
      </c>
      <c r="D4">
        <v>387.34</v>
      </c>
      <c r="E4">
        <v>2.58</v>
      </c>
      <c r="F4">
        <v>529.87</v>
      </c>
      <c r="G4">
        <v>7.04</v>
      </c>
    </row>
    <row r="5" spans="1:7" x14ac:dyDescent="0.25">
      <c r="A5">
        <v>331</v>
      </c>
      <c r="B5" s="1">
        <f t="shared" si="1"/>
        <v>346.2</v>
      </c>
      <c r="C5" s="1">
        <f t="shared" si="0"/>
        <v>34.619999999999997</v>
      </c>
      <c r="D5">
        <v>352.57</v>
      </c>
      <c r="E5">
        <v>2.0499999999999998</v>
      </c>
      <c r="F5">
        <v>530.70000000000005</v>
      </c>
      <c r="G5">
        <v>6.3</v>
      </c>
    </row>
    <row r="6" spans="1:7" x14ac:dyDescent="0.25">
      <c r="A6">
        <v>332</v>
      </c>
      <c r="B6" s="1">
        <f t="shared" si="1"/>
        <v>347.2</v>
      </c>
      <c r="C6" s="1">
        <f t="shared" si="0"/>
        <v>34.72</v>
      </c>
      <c r="D6">
        <v>323.58</v>
      </c>
      <c r="E6">
        <v>2</v>
      </c>
      <c r="F6">
        <v>530.24</v>
      </c>
      <c r="G6">
        <v>6.83</v>
      </c>
    </row>
    <row r="7" spans="1:7" x14ac:dyDescent="0.25">
      <c r="A7">
        <v>333</v>
      </c>
      <c r="B7" s="1">
        <f t="shared" si="1"/>
        <v>348.2</v>
      </c>
      <c r="C7" s="1">
        <f t="shared" si="0"/>
        <v>34.82</v>
      </c>
      <c r="D7">
        <v>288.42</v>
      </c>
      <c r="E7">
        <v>1.53</v>
      </c>
      <c r="F7">
        <v>532.88</v>
      </c>
      <c r="G7">
        <v>6.38</v>
      </c>
    </row>
    <row r="8" spans="1:7" x14ac:dyDescent="0.25">
      <c r="A8">
        <v>334</v>
      </c>
      <c r="B8" s="1">
        <f t="shared" si="1"/>
        <v>349.2</v>
      </c>
      <c r="C8" s="1">
        <f t="shared" si="0"/>
        <v>34.92</v>
      </c>
      <c r="D8">
        <v>259.14999999999998</v>
      </c>
      <c r="E8">
        <v>1.24</v>
      </c>
      <c r="F8">
        <v>531.48</v>
      </c>
      <c r="G8">
        <v>6.22</v>
      </c>
    </row>
    <row r="9" spans="1:7" x14ac:dyDescent="0.25">
      <c r="A9">
        <v>335</v>
      </c>
      <c r="B9" s="1">
        <f t="shared" si="1"/>
        <v>350.2</v>
      </c>
      <c r="C9" s="1">
        <f t="shared" si="0"/>
        <v>35.019999999999996</v>
      </c>
      <c r="D9">
        <v>230.46</v>
      </c>
      <c r="E9">
        <v>1.03</v>
      </c>
      <c r="F9">
        <v>530.82000000000005</v>
      </c>
      <c r="G9">
        <v>6.04</v>
      </c>
    </row>
    <row r="10" spans="1:7" x14ac:dyDescent="0.25">
      <c r="A10">
        <v>336</v>
      </c>
      <c r="B10" s="1">
        <f t="shared" si="1"/>
        <v>351.2</v>
      </c>
      <c r="C10" s="1">
        <f t="shared" si="0"/>
        <v>35.119999999999997</v>
      </c>
      <c r="D10">
        <v>200.24</v>
      </c>
      <c r="E10">
        <v>0.72</v>
      </c>
      <c r="F10">
        <v>531.41999999999996</v>
      </c>
      <c r="G10">
        <v>5.58</v>
      </c>
    </row>
    <row r="11" spans="1:7" x14ac:dyDescent="0.25">
      <c r="A11">
        <v>337</v>
      </c>
      <c r="B11" s="1">
        <f t="shared" si="1"/>
        <v>352.2</v>
      </c>
      <c r="C11" s="1">
        <f t="shared" si="0"/>
        <v>35.22</v>
      </c>
      <c r="D11">
        <v>171.85</v>
      </c>
      <c r="E11">
        <v>0.78</v>
      </c>
      <c r="F11">
        <v>529.97</v>
      </c>
      <c r="G11">
        <v>5.57</v>
      </c>
    </row>
    <row r="12" spans="1:7" x14ac:dyDescent="0.25">
      <c r="A12">
        <v>338</v>
      </c>
      <c r="B12" s="1">
        <f t="shared" si="1"/>
        <v>353.2</v>
      </c>
      <c r="C12" s="1">
        <f t="shared" si="0"/>
        <v>35.32</v>
      </c>
      <c r="D12">
        <v>145.31</v>
      </c>
      <c r="E12" s="1">
        <v>0.6</v>
      </c>
      <c r="F12">
        <v>532.57000000000005</v>
      </c>
      <c r="G12">
        <v>5.14</v>
      </c>
    </row>
    <row r="13" spans="1:7" x14ac:dyDescent="0.25">
      <c r="A13">
        <v>339</v>
      </c>
      <c r="B13" s="1">
        <f t="shared" si="1"/>
        <v>354.2</v>
      </c>
      <c r="C13" s="1">
        <f t="shared" si="0"/>
        <v>35.42</v>
      </c>
      <c r="D13">
        <v>121.16</v>
      </c>
      <c r="E13">
        <v>0.47</v>
      </c>
      <c r="F13">
        <v>534.70000000000005</v>
      </c>
      <c r="G13">
        <v>6.09</v>
      </c>
    </row>
    <row r="14" spans="1:7" x14ac:dyDescent="0.25">
      <c r="A14">
        <v>340</v>
      </c>
      <c r="B14" s="1">
        <f t="shared" si="1"/>
        <v>355.2</v>
      </c>
      <c r="C14" s="1">
        <f t="shared" si="0"/>
        <v>35.519999999999996</v>
      </c>
      <c r="D14">
        <v>96.55</v>
      </c>
      <c r="E14">
        <v>0.42</v>
      </c>
      <c r="F14">
        <v>532.98</v>
      </c>
      <c r="G14">
        <v>4.8600000000000003</v>
      </c>
    </row>
    <row r="15" spans="1:7" x14ac:dyDescent="0.25">
      <c r="A15">
        <v>341</v>
      </c>
      <c r="B15" s="1">
        <f t="shared" si="1"/>
        <v>356.2</v>
      </c>
      <c r="C15" s="1">
        <f t="shared" si="0"/>
        <v>35.619999999999997</v>
      </c>
      <c r="D15">
        <v>74.42</v>
      </c>
      <c r="E15">
        <v>0.46</v>
      </c>
      <c r="F15">
        <v>535.15</v>
      </c>
      <c r="G15">
        <v>5.95</v>
      </c>
    </row>
    <row r="16" spans="1:7" x14ac:dyDescent="0.25">
      <c r="A16">
        <v>342</v>
      </c>
      <c r="B16" s="1">
        <f t="shared" si="1"/>
        <v>357.2</v>
      </c>
      <c r="C16" s="1">
        <f t="shared" si="0"/>
        <v>35.72</v>
      </c>
      <c r="D16">
        <v>57.43</v>
      </c>
      <c r="E16">
        <v>0.23</v>
      </c>
      <c r="F16">
        <v>533.91</v>
      </c>
      <c r="G16">
        <v>4.75</v>
      </c>
    </row>
    <row r="17" spans="1:7" x14ac:dyDescent="0.25">
      <c r="A17">
        <v>343</v>
      </c>
      <c r="B17" s="1">
        <f t="shared" si="1"/>
        <v>358.2</v>
      </c>
      <c r="C17" s="1">
        <f t="shared" si="0"/>
        <v>35.82</v>
      </c>
      <c r="D17">
        <v>60.03</v>
      </c>
      <c r="E17">
        <v>0.32</v>
      </c>
      <c r="F17">
        <v>534.33000000000004</v>
      </c>
      <c r="G17">
        <v>4.99</v>
      </c>
    </row>
    <row r="18" spans="1:7" x14ac:dyDescent="0.25">
      <c r="A18">
        <v>344</v>
      </c>
      <c r="B18" s="1">
        <f t="shared" si="1"/>
        <v>359.2</v>
      </c>
      <c r="C18" s="1">
        <f t="shared" si="0"/>
        <v>35.92</v>
      </c>
      <c r="D18">
        <v>69.8</v>
      </c>
      <c r="E18">
        <v>0.32</v>
      </c>
      <c r="F18">
        <v>534.62</v>
      </c>
      <c r="G18">
        <v>5.75</v>
      </c>
    </row>
    <row r="19" spans="1:7" x14ac:dyDescent="0.25">
      <c r="A19">
        <v>345</v>
      </c>
      <c r="B19" s="1">
        <f t="shared" si="1"/>
        <v>360.2</v>
      </c>
      <c r="C19" s="1">
        <f t="shared" si="0"/>
        <v>36.019999999999996</v>
      </c>
      <c r="D19">
        <v>85.92</v>
      </c>
      <c r="E19">
        <v>0.7</v>
      </c>
      <c r="F19">
        <v>539.27</v>
      </c>
      <c r="G19">
        <v>4.9800000000000004</v>
      </c>
    </row>
    <row r="20" spans="1:7" x14ac:dyDescent="0.25">
      <c r="A20">
        <v>346</v>
      </c>
      <c r="B20" s="1">
        <f t="shared" si="1"/>
        <v>361.2</v>
      </c>
      <c r="C20" s="1">
        <f t="shared" si="0"/>
        <v>36.119999999999997</v>
      </c>
      <c r="D20">
        <v>100.65</v>
      </c>
      <c r="E20">
        <v>0.75</v>
      </c>
      <c r="F20">
        <v>537.46</v>
      </c>
      <c r="G20">
        <v>5.81</v>
      </c>
    </row>
    <row r="21" spans="1:7" x14ac:dyDescent="0.25">
      <c r="A21">
        <v>347</v>
      </c>
      <c r="B21" s="1">
        <f t="shared" si="1"/>
        <v>362.2</v>
      </c>
      <c r="C21" s="1">
        <f t="shared" si="0"/>
        <v>36.22</v>
      </c>
      <c r="D21">
        <v>124.42</v>
      </c>
      <c r="E21">
        <v>1.07</v>
      </c>
      <c r="F21">
        <v>536.24</v>
      </c>
      <c r="G21">
        <v>6.57</v>
      </c>
    </row>
    <row r="22" spans="1:7" x14ac:dyDescent="0.25">
      <c r="A22">
        <v>348</v>
      </c>
      <c r="B22" s="1">
        <f t="shared" si="1"/>
        <v>363.2</v>
      </c>
      <c r="C22" s="1">
        <f t="shared" si="0"/>
        <v>36.32</v>
      </c>
      <c r="D22">
        <v>150.78</v>
      </c>
      <c r="E22">
        <v>1.31</v>
      </c>
      <c r="F22">
        <v>536.95000000000005</v>
      </c>
      <c r="G22">
        <v>5.4</v>
      </c>
    </row>
    <row r="23" spans="1:7" x14ac:dyDescent="0.25">
      <c r="A23">
        <v>349</v>
      </c>
      <c r="B23" s="1">
        <f t="shared" si="1"/>
        <v>364.2</v>
      </c>
      <c r="C23" s="1">
        <f t="shared" si="0"/>
        <v>36.42</v>
      </c>
      <c r="D23">
        <v>178.07</v>
      </c>
      <c r="E23">
        <v>2.08</v>
      </c>
      <c r="F23">
        <v>537.05999999999995</v>
      </c>
      <c r="G23">
        <v>4.93</v>
      </c>
    </row>
    <row r="24" spans="1:7" x14ac:dyDescent="0.25">
      <c r="A24">
        <v>350</v>
      </c>
      <c r="B24" s="1">
        <f t="shared" si="1"/>
        <v>365.2</v>
      </c>
      <c r="C24" s="1">
        <f t="shared" si="0"/>
        <v>36.519999999999996</v>
      </c>
      <c r="D24">
        <v>201.45</v>
      </c>
      <c r="E24">
        <v>2.4700000000000002</v>
      </c>
      <c r="F24">
        <v>538.02</v>
      </c>
      <c r="G24">
        <v>5.27</v>
      </c>
    </row>
    <row r="25" spans="1:7" x14ac:dyDescent="0.25">
      <c r="A25">
        <v>351</v>
      </c>
      <c r="B25" s="1">
        <f t="shared" si="1"/>
        <v>366.2</v>
      </c>
      <c r="C25" s="1">
        <f t="shared" si="0"/>
        <v>36.619999999999997</v>
      </c>
      <c r="D25">
        <v>231.46</v>
      </c>
      <c r="E25">
        <v>2.5299999999999998</v>
      </c>
      <c r="F25">
        <v>539.98</v>
      </c>
      <c r="G25">
        <v>5.81</v>
      </c>
    </row>
    <row r="26" spans="1:7" x14ac:dyDescent="0.25">
      <c r="A26">
        <v>352</v>
      </c>
      <c r="B26" s="1">
        <f t="shared" si="1"/>
        <v>367.2</v>
      </c>
      <c r="C26" s="1">
        <f t="shared" si="0"/>
        <v>36.72</v>
      </c>
      <c r="D26">
        <v>259.89999999999998</v>
      </c>
      <c r="E26">
        <v>2.95</v>
      </c>
      <c r="F26">
        <v>537.62</v>
      </c>
      <c r="G26">
        <v>5.63</v>
      </c>
    </row>
    <row r="27" spans="1:7" x14ac:dyDescent="0.25">
      <c r="A27">
        <v>353</v>
      </c>
      <c r="B27" s="1">
        <f t="shared" si="1"/>
        <v>368.2</v>
      </c>
      <c r="C27" s="1">
        <f t="shared" si="0"/>
        <v>36.82</v>
      </c>
      <c r="D27">
        <v>285.76</v>
      </c>
      <c r="E27">
        <v>4.0599999999999996</v>
      </c>
      <c r="F27">
        <v>539.28</v>
      </c>
      <c r="G27">
        <v>5.62</v>
      </c>
    </row>
    <row r="28" spans="1:7" x14ac:dyDescent="0.25">
      <c r="A28">
        <v>354</v>
      </c>
      <c r="B28" s="1">
        <f t="shared" si="1"/>
        <v>369.2</v>
      </c>
      <c r="C28" s="1">
        <f t="shared" si="0"/>
        <v>36.92</v>
      </c>
      <c r="D28">
        <v>315.83</v>
      </c>
      <c r="E28">
        <v>5.32</v>
      </c>
      <c r="F28">
        <v>540.14</v>
      </c>
      <c r="G28">
        <v>6.4</v>
      </c>
    </row>
    <row r="29" spans="1:7" x14ac:dyDescent="0.25">
      <c r="A29">
        <v>355</v>
      </c>
      <c r="B29" s="1">
        <f t="shared" si="1"/>
        <v>370.2</v>
      </c>
      <c r="C29" s="1">
        <f t="shared" si="0"/>
        <v>37.019999999999996</v>
      </c>
      <c r="D29">
        <v>345.87</v>
      </c>
      <c r="E29">
        <v>6.41</v>
      </c>
      <c r="F29">
        <v>541.27</v>
      </c>
      <c r="G29">
        <v>4.03</v>
      </c>
    </row>
    <row r="30" spans="1:7" x14ac:dyDescent="0.25">
      <c r="A30">
        <v>360</v>
      </c>
      <c r="B30" s="1">
        <f t="shared" si="1"/>
        <v>375.2</v>
      </c>
      <c r="C30" s="1">
        <f t="shared" si="0"/>
        <v>37.519999999999996</v>
      </c>
      <c r="D30">
        <v>484.83</v>
      </c>
      <c r="E30">
        <v>5.52</v>
      </c>
      <c r="F30">
        <v>546.13</v>
      </c>
      <c r="G30">
        <v>5.95</v>
      </c>
    </row>
    <row r="31" spans="1:7" x14ac:dyDescent="0.25">
      <c r="A31">
        <v>365</v>
      </c>
      <c r="B31" s="1">
        <f t="shared" si="1"/>
        <v>380.2</v>
      </c>
      <c r="C31" s="1">
        <f t="shared" si="0"/>
        <v>38.019999999999996</v>
      </c>
      <c r="D31">
        <v>636.63</v>
      </c>
      <c r="E31">
        <v>8.15</v>
      </c>
      <c r="F31">
        <v>545.69000000000005</v>
      </c>
      <c r="G31">
        <v>5.32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77"/>
  <sheetViews>
    <sheetView topLeftCell="J9" workbookViewId="0"/>
  </sheetViews>
  <sheetFormatPr defaultColWidth="17.109375" defaultRowHeight="12.75" customHeight="1" x14ac:dyDescent="0.25"/>
  <cols>
    <col min="1" max="1" width="15.109375" bestFit="1" customWidth="1"/>
    <col min="2" max="2" width="9.44140625" bestFit="1" customWidth="1"/>
    <col min="3" max="3" width="8.6640625" bestFit="1" customWidth="1"/>
    <col min="4" max="4" width="17" bestFit="1" customWidth="1"/>
    <col min="5" max="5" width="15.109375" bestFit="1" customWidth="1"/>
    <col min="6" max="6" width="17.6640625" bestFit="1" customWidth="1"/>
    <col min="7" max="7" width="15.109375" bestFit="1" customWidth="1"/>
    <col min="8" max="8" width="15" bestFit="1" customWidth="1"/>
    <col min="9" max="10" width="15" customWidth="1"/>
    <col min="11" max="11" width="15.5546875" bestFit="1" customWidth="1"/>
    <col min="12" max="13" width="8.109375" customWidth="1"/>
    <col min="14" max="14" width="93.88671875" bestFit="1" customWidth="1"/>
  </cols>
  <sheetData>
    <row r="1" spans="1:14" ht="13.2" x14ac:dyDescent="0.25">
      <c r="A1" s="4" t="s">
        <v>0</v>
      </c>
      <c r="B1" s="22">
        <v>42242</v>
      </c>
      <c r="C1" s="22"/>
      <c r="D1" s="22"/>
      <c r="E1" s="2"/>
      <c r="F1" s="3"/>
      <c r="G1" s="3"/>
    </row>
    <row r="2" spans="1:14" ht="13.2" x14ac:dyDescent="0.25">
      <c r="A2" s="4" t="s">
        <v>17</v>
      </c>
      <c r="B2" s="23" t="s">
        <v>18</v>
      </c>
      <c r="C2" s="23"/>
      <c r="D2" s="23"/>
      <c r="E2" s="3"/>
      <c r="F2" s="3"/>
      <c r="G2" s="3"/>
    </row>
    <row r="3" spans="1:14" ht="13.2" x14ac:dyDescent="0.25">
      <c r="A3" s="4" t="s">
        <v>1</v>
      </c>
      <c r="B3" s="23" t="s">
        <v>19</v>
      </c>
      <c r="C3" s="24"/>
      <c r="D3" s="24"/>
      <c r="E3" s="3"/>
      <c r="F3" s="3"/>
      <c r="G3" s="3"/>
    </row>
    <row r="4" spans="1:14" ht="13.2" x14ac:dyDescent="0.25">
      <c r="A4" s="4" t="s">
        <v>3</v>
      </c>
      <c r="B4" s="15">
        <v>1064</v>
      </c>
      <c r="E4" s="3"/>
      <c r="F4" s="3"/>
      <c r="G4" s="3"/>
    </row>
    <row r="5" spans="1:14" ht="13.2" x14ac:dyDescent="0.25">
      <c r="A5" s="4" t="s">
        <v>10</v>
      </c>
      <c r="B5" s="14" t="s">
        <v>22</v>
      </c>
      <c r="E5" s="3"/>
      <c r="F5" s="3"/>
      <c r="G5" s="3"/>
    </row>
    <row r="6" spans="1:14" ht="26.4" x14ac:dyDescent="0.25">
      <c r="A6" s="4" t="s">
        <v>20</v>
      </c>
      <c r="B6" s="14" t="s">
        <v>31</v>
      </c>
      <c r="E6" s="3"/>
      <c r="F6" s="3"/>
      <c r="G6" s="3"/>
    </row>
    <row r="7" spans="1:14" ht="13.2" x14ac:dyDescent="0.25">
      <c r="A7" s="4" t="s">
        <v>15</v>
      </c>
      <c r="B7" s="14" t="s">
        <v>30</v>
      </c>
      <c r="E7" s="3"/>
      <c r="F7" s="3"/>
      <c r="G7" s="3"/>
    </row>
    <row r="8" spans="1:14" ht="26.4" x14ac:dyDescent="0.25">
      <c r="A8" s="4" t="s">
        <v>21</v>
      </c>
      <c r="B8" s="14">
        <v>90</v>
      </c>
      <c r="E8" s="3"/>
      <c r="F8" s="3"/>
      <c r="G8" s="3"/>
    </row>
    <row r="9" spans="1:14" ht="117.75" customHeight="1" x14ac:dyDescent="0.25">
      <c r="A9" s="4" t="s">
        <v>2</v>
      </c>
      <c r="B9" s="23" t="s">
        <v>42</v>
      </c>
      <c r="C9" s="24"/>
      <c r="D9" s="24"/>
      <c r="E9" s="24"/>
      <c r="F9" s="24"/>
      <c r="G9" s="24"/>
    </row>
    <row r="10" spans="1:14" ht="13.2" x14ac:dyDescent="0.25">
      <c r="A10" s="1"/>
    </row>
    <row r="11" spans="1:14" ht="13.2" x14ac:dyDescent="0.25">
      <c r="A11" s="1"/>
      <c r="B11" s="20" t="s">
        <v>7</v>
      </c>
      <c r="C11" s="20"/>
      <c r="D11" s="20" t="s">
        <v>6</v>
      </c>
      <c r="E11" s="20"/>
      <c r="F11" s="20"/>
      <c r="G11" s="20"/>
      <c r="H11" s="20" t="s">
        <v>5</v>
      </c>
      <c r="I11" s="20"/>
      <c r="J11" s="20"/>
      <c r="K11" s="20"/>
      <c r="L11" s="13"/>
      <c r="M11" s="13"/>
    </row>
    <row r="12" spans="1:14" ht="26.4" x14ac:dyDescent="0.25">
      <c r="A12" s="4" t="s">
        <v>4</v>
      </c>
      <c r="B12" s="4" t="s">
        <v>11</v>
      </c>
      <c r="C12" s="4" t="s">
        <v>12</v>
      </c>
      <c r="D12" s="4" t="s">
        <v>23</v>
      </c>
      <c r="E12" s="4" t="s">
        <v>25</v>
      </c>
      <c r="F12" s="4" t="s">
        <v>24</v>
      </c>
      <c r="G12" s="4" t="s">
        <v>26</v>
      </c>
      <c r="H12" s="4" t="s">
        <v>13</v>
      </c>
      <c r="I12" s="4" t="s">
        <v>27</v>
      </c>
      <c r="J12" s="4" t="s">
        <v>14</v>
      </c>
      <c r="K12" s="4" t="s">
        <v>28</v>
      </c>
      <c r="L12" s="4" t="s">
        <v>8</v>
      </c>
      <c r="M12" s="4" t="s">
        <v>9</v>
      </c>
      <c r="N12" s="4" t="s">
        <v>2</v>
      </c>
    </row>
    <row r="13" spans="1:14" ht="12.75" customHeight="1" x14ac:dyDescent="0.25">
      <c r="A13">
        <v>300</v>
      </c>
      <c r="B13" s="1">
        <f>A13+(65)+(-57+7.2)</f>
        <v>315.2</v>
      </c>
      <c r="C13" s="1">
        <f t="shared" ref="C13:C17" si="0">B13/10</f>
        <v>31.52</v>
      </c>
      <c r="D13">
        <v>1320.18</v>
      </c>
      <c r="E13">
        <v>12.49</v>
      </c>
      <c r="F13">
        <v>488.39</v>
      </c>
      <c r="G13">
        <v>5.14</v>
      </c>
      <c r="H13" s="1"/>
      <c r="I13" s="1"/>
      <c r="L13" s="1"/>
      <c r="M13" s="1"/>
      <c r="N13" s="1"/>
    </row>
    <row r="14" spans="1:14" ht="12.75" customHeight="1" x14ac:dyDescent="0.25">
      <c r="A14">
        <v>305</v>
      </c>
      <c r="B14" s="1">
        <f t="shared" ref="B14:B46" si="1">A14+(65)+(-57+7.2)</f>
        <v>320.2</v>
      </c>
      <c r="C14" s="1">
        <f t="shared" si="0"/>
        <v>32.019999999999996</v>
      </c>
      <c r="D14">
        <v>1172.9100000000001</v>
      </c>
      <c r="E14">
        <v>10.59</v>
      </c>
      <c r="F14">
        <v>486.58</v>
      </c>
      <c r="G14">
        <v>3.89</v>
      </c>
      <c r="H14" s="1"/>
      <c r="I14" s="1"/>
      <c r="L14" s="1">
        <f t="shared" ref="L14:L18" si="2">D14/F14</f>
        <v>2.4105183114801267</v>
      </c>
      <c r="M14" s="1">
        <f t="shared" ref="M14:M18" si="3">F14/D14</f>
        <v>0.41484853910359698</v>
      </c>
      <c r="N14" s="1"/>
    </row>
    <row r="15" spans="1:14" ht="12.75" customHeight="1" x14ac:dyDescent="0.25">
      <c r="A15">
        <v>310</v>
      </c>
      <c r="B15" s="1">
        <f t="shared" si="1"/>
        <v>325.2</v>
      </c>
      <c r="C15" s="1">
        <f t="shared" si="0"/>
        <v>32.519999999999996</v>
      </c>
      <c r="D15">
        <v>1028.24</v>
      </c>
      <c r="E15">
        <v>6.85</v>
      </c>
      <c r="F15">
        <v>485.65</v>
      </c>
      <c r="G15">
        <v>4.33</v>
      </c>
      <c r="H15" s="1"/>
      <c r="I15" s="1"/>
      <c r="L15" s="1">
        <f t="shared" si="2"/>
        <v>2.1172449294759601</v>
      </c>
      <c r="M15" s="1">
        <f t="shared" si="3"/>
        <v>0.47231191161596514</v>
      </c>
      <c r="N15" s="1"/>
    </row>
    <row r="16" spans="1:14" ht="12.75" customHeight="1" x14ac:dyDescent="0.25">
      <c r="A16">
        <v>315</v>
      </c>
      <c r="B16" s="1">
        <f t="shared" si="1"/>
        <v>330.2</v>
      </c>
      <c r="C16" s="1">
        <f t="shared" si="0"/>
        <v>33.019999999999996</v>
      </c>
      <c r="D16">
        <v>885.77</v>
      </c>
      <c r="E16">
        <v>6.52</v>
      </c>
      <c r="F16">
        <v>486.02</v>
      </c>
      <c r="G16">
        <v>3.56</v>
      </c>
      <c r="H16" s="1"/>
      <c r="I16" s="1"/>
      <c r="L16" s="1">
        <f t="shared" si="2"/>
        <v>1.8224970165836798</v>
      </c>
      <c r="M16" s="1">
        <f t="shared" si="3"/>
        <v>0.54869774320647569</v>
      </c>
      <c r="N16" s="1"/>
    </row>
    <row r="17" spans="1:14" ht="12.75" customHeight="1" x14ac:dyDescent="0.25">
      <c r="A17">
        <v>320</v>
      </c>
      <c r="B17" s="1">
        <f t="shared" si="1"/>
        <v>335.2</v>
      </c>
      <c r="C17" s="1">
        <f t="shared" si="0"/>
        <v>33.519999999999996</v>
      </c>
      <c r="D17">
        <v>741.73</v>
      </c>
      <c r="E17">
        <v>4.57</v>
      </c>
      <c r="F17">
        <v>486.11</v>
      </c>
      <c r="G17">
        <v>4.5599999999999996</v>
      </c>
      <c r="H17" s="1"/>
      <c r="I17" s="1"/>
      <c r="L17" s="1">
        <f t="shared" si="2"/>
        <v>1.525848059081278</v>
      </c>
      <c r="M17" s="1">
        <f t="shared" si="3"/>
        <v>0.65537324902592586</v>
      </c>
      <c r="N17" s="1"/>
    </row>
    <row r="18" spans="1:14" ht="12.75" customHeight="1" x14ac:dyDescent="0.25">
      <c r="A18">
        <v>325</v>
      </c>
      <c r="B18" s="1">
        <f t="shared" si="1"/>
        <v>340.2</v>
      </c>
      <c r="C18" s="1">
        <f>B18/10</f>
        <v>34.019999999999996</v>
      </c>
      <c r="D18">
        <v>604.55999999999995</v>
      </c>
      <c r="E18">
        <v>2.92</v>
      </c>
      <c r="F18">
        <v>485.26</v>
      </c>
      <c r="G18">
        <v>5.5</v>
      </c>
      <c r="H18" s="1"/>
      <c r="I18" s="1"/>
      <c r="L18" s="1">
        <f t="shared" si="2"/>
        <v>1.245847586860652</v>
      </c>
      <c r="M18" s="1">
        <f t="shared" si="3"/>
        <v>0.80266640201138029</v>
      </c>
      <c r="N18" s="1"/>
    </row>
    <row r="19" spans="1:14" ht="12.75" customHeight="1" x14ac:dyDescent="0.25">
      <c r="A19">
        <v>330</v>
      </c>
      <c r="B19" s="1">
        <f t="shared" si="1"/>
        <v>345.2</v>
      </c>
      <c r="C19" s="1">
        <f>B19/10</f>
        <v>34.519999999999996</v>
      </c>
      <c r="D19">
        <v>471.32</v>
      </c>
      <c r="E19">
        <v>3.79</v>
      </c>
      <c r="F19">
        <v>489.49</v>
      </c>
      <c r="G19">
        <v>4.54</v>
      </c>
      <c r="H19" s="1"/>
      <c r="I19" s="1"/>
      <c r="L19" s="1">
        <f>D19/F19</f>
        <v>0.96287973196592369</v>
      </c>
      <c r="M19" s="1">
        <f>F19/D19</f>
        <v>1.0385513027242639</v>
      </c>
      <c r="N19" s="1"/>
    </row>
    <row r="20" spans="1:14" ht="12.75" customHeight="1" x14ac:dyDescent="0.25">
      <c r="A20">
        <v>335</v>
      </c>
      <c r="B20" s="1">
        <f t="shared" si="1"/>
        <v>350.2</v>
      </c>
      <c r="C20" s="1">
        <f t="shared" ref="C20:C46" si="4">B20/10</f>
        <v>35.019999999999996</v>
      </c>
      <c r="D20">
        <v>318.07</v>
      </c>
      <c r="E20">
        <v>1.59</v>
      </c>
      <c r="F20">
        <v>492.02</v>
      </c>
      <c r="G20">
        <v>3.89</v>
      </c>
      <c r="H20" s="1"/>
      <c r="I20" s="1"/>
      <c r="L20" s="1">
        <f t="shared" ref="L20:L46" si="5">D20/F20</f>
        <v>0.64645746107881796</v>
      </c>
      <c r="M20" s="1">
        <f t="shared" ref="M20:M46" si="6">F20/D20</f>
        <v>1.5468921935423019</v>
      </c>
      <c r="N20" s="1"/>
    </row>
    <row r="21" spans="1:14" ht="12.75" customHeight="1" x14ac:dyDescent="0.25">
      <c r="A21">
        <v>336</v>
      </c>
      <c r="B21" s="1">
        <f t="shared" si="1"/>
        <v>351.2</v>
      </c>
      <c r="C21" s="1">
        <f t="shared" si="4"/>
        <v>35.119999999999997</v>
      </c>
      <c r="D21">
        <v>289.99</v>
      </c>
      <c r="E21">
        <v>0.98</v>
      </c>
      <c r="F21">
        <v>492.58</v>
      </c>
      <c r="G21">
        <v>5.35</v>
      </c>
      <c r="H21" s="1"/>
      <c r="I21" s="1"/>
      <c r="J21" s="1"/>
      <c r="L21" s="1">
        <f t="shared" si="5"/>
        <v>0.58871655365625897</v>
      </c>
      <c r="M21" s="1">
        <f t="shared" si="6"/>
        <v>1.6986102969067898</v>
      </c>
      <c r="N21" s="1"/>
    </row>
    <row r="22" spans="1:14" ht="12.75" customHeight="1" x14ac:dyDescent="0.25">
      <c r="A22">
        <v>337</v>
      </c>
      <c r="B22" s="1">
        <f t="shared" si="1"/>
        <v>352.2</v>
      </c>
      <c r="C22" s="1">
        <f t="shared" si="4"/>
        <v>35.22</v>
      </c>
      <c r="D22">
        <v>259.49</v>
      </c>
      <c r="E22">
        <v>1.22</v>
      </c>
      <c r="F22">
        <v>497.36</v>
      </c>
      <c r="G22">
        <v>5.21</v>
      </c>
      <c r="H22" s="1"/>
      <c r="I22" s="1"/>
      <c r="L22" s="1">
        <f t="shared" si="5"/>
        <v>0.52173475953032011</v>
      </c>
      <c r="M22" s="1">
        <f t="shared" si="6"/>
        <v>1.9166827238043855</v>
      </c>
      <c r="N22" s="1"/>
    </row>
    <row r="23" spans="1:14" ht="12.75" customHeight="1" x14ac:dyDescent="0.25">
      <c r="A23">
        <v>338</v>
      </c>
      <c r="B23" s="1">
        <f t="shared" si="1"/>
        <v>353.2</v>
      </c>
      <c r="C23" s="1">
        <f t="shared" si="4"/>
        <v>35.32</v>
      </c>
      <c r="D23">
        <v>227.38</v>
      </c>
      <c r="E23">
        <v>0.96</v>
      </c>
      <c r="F23">
        <v>493.89</v>
      </c>
      <c r="G23">
        <v>3.97</v>
      </c>
      <c r="H23" s="1"/>
      <c r="I23" s="1"/>
      <c r="L23" s="1">
        <f t="shared" si="5"/>
        <v>0.46038591589220274</v>
      </c>
      <c r="M23" s="1">
        <f t="shared" si="6"/>
        <v>2.1720907731550709</v>
      </c>
      <c r="N23" s="1"/>
    </row>
    <row r="24" spans="1:14" ht="12.75" customHeight="1" x14ac:dyDescent="0.25">
      <c r="A24">
        <v>339</v>
      </c>
      <c r="B24" s="1">
        <f t="shared" si="1"/>
        <v>354.2</v>
      </c>
      <c r="C24" s="1">
        <f t="shared" si="4"/>
        <v>35.42</v>
      </c>
      <c r="D24">
        <v>197.99</v>
      </c>
      <c r="E24">
        <v>0.79</v>
      </c>
      <c r="F24">
        <v>496.15</v>
      </c>
      <c r="G24">
        <v>5.1100000000000003</v>
      </c>
      <c r="H24" s="1"/>
      <c r="I24" s="1"/>
      <c r="L24" s="1">
        <f t="shared" si="5"/>
        <v>0.39905270583492897</v>
      </c>
      <c r="M24" s="1">
        <f t="shared" si="6"/>
        <v>2.5059346431637959</v>
      </c>
      <c r="N24" s="1"/>
    </row>
    <row r="25" spans="1:14" ht="12.75" customHeight="1" x14ac:dyDescent="0.25">
      <c r="A25">
        <v>340</v>
      </c>
      <c r="B25" s="1">
        <f t="shared" si="1"/>
        <v>355.2</v>
      </c>
      <c r="C25" s="1">
        <f t="shared" si="4"/>
        <v>35.519999999999996</v>
      </c>
      <c r="D25">
        <v>169.68</v>
      </c>
      <c r="E25">
        <v>0.57999999999999996</v>
      </c>
      <c r="F25">
        <v>491.82</v>
      </c>
      <c r="G25">
        <v>3.84</v>
      </c>
      <c r="H25" s="1"/>
      <c r="I25" s="1"/>
      <c r="L25" s="1">
        <f t="shared" si="5"/>
        <v>0.34500426985482496</v>
      </c>
      <c r="M25" s="1">
        <f t="shared" si="6"/>
        <v>2.8985148514851482</v>
      </c>
      <c r="N25" s="1"/>
    </row>
    <row r="26" spans="1:14" ht="12.75" customHeight="1" x14ac:dyDescent="0.25">
      <c r="A26">
        <v>341</v>
      </c>
      <c r="B26" s="1">
        <f t="shared" si="1"/>
        <v>356.2</v>
      </c>
      <c r="C26" s="1">
        <f t="shared" si="4"/>
        <v>35.619999999999997</v>
      </c>
      <c r="D26">
        <v>145.58000000000001</v>
      </c>
      <c r="E26">
        <v>0.72</v>
      </c>
      <c r="F26">
        <v>497.2</v>
      </c>
      <c r="G26">
        <v>4.2</v>
      </c>
      <c r="H26" s="1"/>
      <c r="I26" s="1"/>
      <c r="L26" s="1">
        <f t="shared" si="5"/>
        <v>0.29279967819790831</v>
      </c>
      <c r="M26" s="1">
        <f t="shared" si="6"/>
        <v>3.415304300041214</v>
      </c>
      <c r="N26" s="1"/>
    </row>
    <row r="27" spans="1:14" ht="12.75" customHeight="1" x14ac:dyDescent="0.25">
      <c r="A27">
        <v>342</v>
      </c>
      <c r="B27" s="1">
        <f t="shared" si="1"/>
        <v>357.2</v>
      </c>
      <c r="C27" s="1">
        <f t="shared" si="4"/>
        <v>35.72</v>
      </c>
      <c r="D27">
        <v>120.92</v>
      </c>
      <c r="E27">
        <v>0.39</v>
      </c>
      <c r="F27">
        <v>495.37</v>
      </c>
      <c r="G27">
        <v>4.66</v>
      </c>
      <c r="J27" s="1"/>
      <c r="L27" s="1">
        <f t="shared" si="5"/>
        <v>0.24410036942083696</v>
      </c>
      <c r="M27" s="1">
        <f t="shared" si="6"/>
        <v>4.0966754879259017</v>
      </c>
      <c r="N27" s="1" t="s">
        <v>36</v>
      </c>
    </row>
    <row r="28" spans="1:14" ht="12.75" customHeight="1" x14ac:dyDescent="0.25">
      <c r="A28">
        <v>343</v>
      </c>
      <c r="B28" s="1">
        <f t="shared" si="1"/>
        <v>358.2</v>
      </c>
      <c r="C28" s="1">
        <f t="shared" si="4"/>
        <v>35.82</v>
      </c>
      <c r="D28">
        <v>95.52</v>
      </c>
      <c r="E28">
        <v>0.5</v>
      </c>
      <c r="F28">
        <v>499.24</v>
      </c>
      <c r="G28">
        <v>3.34</v>
      </c>
      <c r="L28" s="1">
        <f t="shared" si="5"/>
        <v>0.19133082285073311</v>
      </c>
      <c r="M28" s="1">
        <f t="shared" si="6"/>
        <v>5.2265494137353441</v>
      </c>
      <c r="N28" s="1" t="s">
        <v>37</v>
      </c>
    </row>
    <row r="29" spans="1:14" ht="12.75" customHeight="1" x14ac:dyDescent="0.25">
      <c r="A29">
        <v>344</v>
      </c>
      <c r="B29" s="1">
        <f t="shared" si="1"/>
        <v>359.2</v>
      </c>
      <c r="C29" s="1">
        <f t="shared" si="4"/>
        <v>35.92</v>
      </c>
      <c r="D29">
        <v>72.459999999999994</v>
      </c>
      <c r="E29" s="1">
        <v>0.48</v>
      </c>
      <c r="F29">
        <v>500.14</v>
      </c>
      <c r="G29">
        <v>3.47</v>
      </c>
      <c r="L29" s="1">
        <f t="shared" si="5"/>
        <v>0.14487943375854759</v>
      </c>
      <c r="M29" s="1">
        <f t="shared" si="6"/>
        <v>6.902290919127795</v>
      </c>
      <c r="N29" s="1"/>
    </row>
    <row r="30" spans="1:14" ht="12.75" customHeight="1" x14ac:dyDescent="0.25">
      <c r="A30">
        <v>345</v>
      </c>
      <c r="B30" s="1">
        <f t="shared" si="1"/>
        <v>360.2</v>
      </c>
      <c r="C30" s="1">
        <f t="shared" si="4"/>
        <v>36.019999999999996</v>
      </c>
      <c r="D30">
        <v>58.49</v>
      </c>
      <c r="E30">
        <v>0.28000000000000003</v>
      </c>
      <c r="F30">
        <v>503.4</v>
      </c>
      <c r="G30">
        <v>5.44</v>
      </c>
      <c r="L30">
        <f t="shared" si="5"/>
        <v>0.11618990862137467</v>
      </c>
      <c r="M30">
        <f t="shared" si="6"/>
        <v>8.606599418704052</v>
      </c>
      <c r="N30" s="1"/>
    </row>
    <row r="31" spans="1:14" ht="12.75" customHeight="1" x14ac:dyDescent="0.25">
      <c r="A31">
        <v>346</v>
      </c>
      <c r="B31" s="1">
        <f t="shared" si="1"/>
        <v>361.2</v>
      </c>
      <c r="C31" s="1">
        <f t="shared" si="4"/>
        <v>36.119999999999997</v>
      </c>
      <c r="D31">
        <v>61.01</v>
      </c>
      <c r="E31">
        <v>0.28999999999999998</v>
      </c>
      <c r="F31">
        <v>501.97</v>
      </c>
      <c r="G31">
        <v>4.8</v>
      </c>
      <c r="L31">
        <f t="shared" si="5"/>
        <v>0.12154112795585392</v>
      </c>
      <c r="M31">
        <f t="shared" si="6"/>
        <v>8.2276675954761522</v>
      </c>
      <c r="N31" s="1"/>
    </row>
    <row r="32" spans="1:14" ht="12.75" customHeight="1" x14ac:dyDescent="0.25">
      <c r="A32">
        <v>347</v>
      </c>
      <c r="B32" s="1">
        <f t="shared" si="1"/>
        <v>362.2</v>
      </c>
      <c r="C32" s="1">
        <f t="shared" si="4"/>
        <v>36.22</v>
      </c>
      <c r="D32">
        <v>70.41</v>
      </c>
      <c r="E32">
        <v>0.37</v>
      </c>
      <c r="F32">
        <v>503.33</v>
      </c>
      <c r="G32">
        <v>5.35</v>
      </c>
      <c r="L32">
        <f t="shared" si="5"/>
        <v>0.13988834363141478</v>
      </c>
      <c r="M32">
        <f t="shared" si="6"/>
        <v>7.1485584434029255</v>
      </c>
      <c r="N32" s="1"/>
    </row>
    <row r="33" spans="1:22" ht="12.75" customHeight="1" x14ac:dyDescent="0.25">
      <c r="A33">
        <v>348</v>
      </c>
      <c r="B33" s="1">
        <f t="shared" si="1"/>
        <v>363.2</v>
      </c>
      <c r="C33" s="1">
        <f t="shared" si="4"/>
        <v>36.32</v>
      </c>
      <c r="D33">
        <v>84.18</v>
      </c>
      <c r="E33">
        <v>0.44</v>
      </c>
      <c r="F33">
        <v>504.29</v>
      </c>
      <c r="G33">
        <v>4.63</v>
      </c>
      <c r="L33">
        <f t="shared" si="5"/>
        <v>0.16692775982073807</v>
      </c>
      <c r="M33">
        <f t="shared" si="6"/>
        <v>5.990615348063673</v>
      </c>
      <c r="N33" s="1"/>
    </row>
    <row r="34" spans="1:22" ht="12.75" customHeight="1" x14ac:dyDescent="0.25">
      <c r="A34">
        <v>349</v>
      </c>
      <c r="B34" s="1">
        <f t="shared" si="1"/>
        <v>364.2</v>
      </c>
      <c r="C34" s="1">
        <f t="shared" si="4"/>
        <v>36.42</v>
      </c>
      <c r="D34">
        <v>101.47</v>
      </c>
      <c r="E34">
        <v>0.74</v>
      </c>
      <c r="F34">
        <v>501.26</v>
      </c>
      <c r="G34">
        <v>5.16</v>
      </c>
      <c r="L34">
        <f t="shared" si="5"/>
        <v>0.20242987671068907</v>
      </c>
      <c r="M34">
        <f t="shared" si="6"/>
        <v>4.9399822607667287</v>
      </c>
    </row>
    <row r="35" spans="1:22" ht="12.75" customHeight="1" x14ac:dyDescent="0.25">
      <c r="A35">
        <v>350</v>
      </c>
      <c r="B35" s="1">
        <f t="shared" si="1"/>
        <v>365.2</v>
      </c>
      <c r="C35" s="1">
        <f t="shared" si="4"/>
        <v>36.519999999999996</v>
      </c>
      <c r="D35">
        <v>122.45</v>
      </c>
      <c r="E35">
        <v>0.81</v>
      </c>
      <c r="F35">
        <v>505.79</v>
      </c>
      <c r="G35">
        <v>4</v>
      </c>
      <c r="L35">
        <f t="shared" si="5"/>
        <v>0.24209652227208919</v>
      </c>
      <c r="M35">
        <f t="shared" si="6"/>
        <v>4.130583911800735</v>
      </c>
    </row>
    <row r="36" spans="1:22" ht="12.75" customHeight="1" x14ac:dyDescent="0.25">
      <c r="A36">
        <v>351</v>
      </c>
      <c r="B36" s="1">
        <f t="shared" si="1"/>
        <v>366.2</v>
      </c>
      <c r="C36" s="1">
        <f t="shared" si="4"/>
        <v>36.619999999999997</v>
      </c>
      <c r="D36">
        <v>148.38</v>
      </c>
      <c r="E36">
        <v>1.33</v>
      </c>
      <c r="F36">
        <v>503.04</v>
      </c>
      <c r="G36">
        <v>5.79</v>
      </c>
      <c r="L36">
        <f t="shared" si="5"/>
        <v>0.29496660305343508</v>
      </c>
      <c r="M36">
        <f t="shared" si="6"/>
        <v>3.3902143145976549</v>
      </c>
    </row>
    <row r="37" spans="1:22" ht="12.75" customHeight="1" x14ac:dyDescent="0.25">
      <c r="A37">
        <v>352</v>
      </c>
      <c r="B37" s="1">
        <f t="shared" si="1"/>
        <v>367.2</v>
      </c>
      <c r="C37" s="1">
        <f t="shared" si="4"/>
        <v>36.72</v>
      </c>
      <c r="D37">
        <v>172.59</v>
      </c>
      <c r="E37">
        <v>1.58</v>
      </c>
      <c r="F37">
        <v>505.96</v>
      </c>
      <c r="G37">
        <v>6.08</v>
      </c>
      <c r="L37">
        <f t="shared" si="5"/>
        <v>0.34111392204917385</v>
      </c>
      <c r="M37">
        <f t="shared" si="6"/>
        <v>2.9315719334839794</v>
      </c>
    </row>
    <row r="38" spans="1:22" ht="12.75" customHeight="1" x14ac:dyDescent="0.25">
      <c r="A38">
        <v>353</v>
      </c>
      <c r="B38" s="1">
        <f t="shared" si="1"/>
        <v>368.2</v>
      </c>
      <c r="C38" s="1">
        <f t="shared" si="4"/>
        <v>36.82</v>
      </c>
      <c r="D38">
        <v>201.75</v>
      </c>
      <c r="E38">
        <v>2.14</v>
      </c>
      <c r="F38">
        <v>506.58</v>
      </c>
      <c r="G38">
        <v>5.66</v>
      </c>
      <c r="L38">
        <f t="shared" si="5"/>
        <v>0.3982589127087528</v>
      </c>
      <c r="M38">
        <f t="shared" si="6"/>
        <v>2.5109293680297395</v>
      </c>
    </row>
    <row r="39" spans="1:22" ht="12.75" customHeight="1" x14ac:dyDescent="0.25">
      <c r="A39">
        <v>354</v>
      </c>
      <c r="B39" s="1">
        <f t="shared" si="1"/>
        <v>369.2</v>
      </c>
      <c r="C39" s="1">
        <f t="shared" si="4"/>
        <v>36.92</v>
      </c>
      <c r="D39">
        <v>227.16</v>
      </c>
      <c r="E39">
        <v>2.4900000000000002</v>
      </c>
      <c r="F39">
        <v>508.41</v>
      </c>
      <c r="G39">
        <v>5.0199999999999996</v>
      </c>
      <c r="L39">
        <f t="shared" si="5"/>
        <v>0.4468047442025137</v>
      </c>
      <c r="M39">
        <f t="shared" si="6"/>
        <v>2.2381141045958799</v>
      </c>
    </row>
    <row r="40" spans="1:22" ht="12.75" customHeight="1" x14ac:dyDescent="0.25">
      <c r="A40">
        <v>355</v>
      </c>
      <c r="B40" s="1">
        <f t="shared" si="1"/>
        <v>370.2</v>
      </c>
      <c r="C40" s="1">
        <f t="shared" si="4"/>
        <v>37.019999999999996</v>
      </c>
      <c r="D40">
        <v>254.75</v>
      </c>
      <c r="E40">
        <v>2.93</v>
      </c>
      <c r="F40">
        <v>507.59</v>
      </c>
      <c r="G40">
        <v>5.2</v>
      </c>
      <c r="L40">
        <f t="shared" si="5"/>
        <v>0.50188143974467581</v>
      </c>
      <c r="M40">
        <f t="shared" si="6"/>
        <v>1.9925024533856721</v>
      </c>
    </row>
    <row r="41" spans="1:22" ht="12.75" customHeight="1" x14ac:dyDescent="0.25">
      <c r="A41">
        <v>356</v>
      </c>
      <c r="B41" s="1">
        <f t="shared" si="1"/>
        <v>371.2</v>
      </c>
      <c r="C41" s="1">
        <f t="shared" si="4"/>
        <v>37.119999999999997</v>
      </c>
      <c r="D41">
        <v>279.94</v>
      </c>
      <c r="E41">
        <v>3.69</v>
      </c>
      <c r="F41">
        <v>506.7</v>
      </c>
      <c r="G41">
        <v>5.61</v>
      </c>
      <c r="H41" s="1"/>
      <c r="I41" s="1"/>
      <c r="L41">
        <f t="shared" si="5"/>
        <v>0.55247681073613575</v>
      </c>
      <c r="M41">
        <f t="shared" si="6"/>
        <v>1.8100307208687576</v>
      </c>
    </row>
    <row r="42" spans="1:22" ht="12.75" customHeight="1" x14ac:dyDescent="0.25">
      <c r="A42">
        <v>357</v>
      </c>
      <c r="B42" s="1">
        <f t="shared" si="1"/>
        <v>372.2</v>
      </c>
      <c r="C42" s="1">
        <f t="shared" si="4"/>
        <v>37.22</v>
      </c>
      <c r="D42">
        <v>308.54000000000002</v>
      </c>
      <c r="E42">
        <v>3.69</v>
      </c>
      <c r="F42">
        <v>505.4</v>
      </c>
      <c r="G42">
        <v>5.95</v>
      </c>
      <c r="L42">
        <f t="shared" si="5"/>
        <v>0.61048674317372387</v>
      </c>
      <c r="M42">
        <f t="shared" si="6"/>
        <v>1.6380372074933556</v>
      </c>
    </row>
    <row r="43" spans="1:22" ht="12.75" customHeight="1" x14ac:dyDescent="0.25">
      <c r="A43">
        <v>358</v>
      </c>
      <c r="B43" s="1">
        <f t="shared" si="1"/>
        <v>373.2</v>
      </c>
      <c r="C43" s="1">
        <f t="shared" si="4"/>
        <v>37.32</v>
      </c>
      <c r="D43">
        <v>340.37</v>
      </c>
      <c r="E43">
        <v>3.73</v>
      </c>
      <c r="F43">
        <v>511.45</v>
      </c>
      <c r="G43">
        <v>7.99</v>
      </c>
      <c r="L43">
        <f t="shared" si="5"/>
        <v>0.66550004888063352</v>
      </c>
      <c r="M43">
        <f t="shared" si="6"/>
        <v>1.5026294914357905</v>
      </c>
      <c r="V43" s="1"/>
    </row>
    <row r="44" spans="1:22" ht="12.75" customHeight="1" x14ac:dyDescent="0.25">
      <c r="A44">
        <v>359</v>
      </c>
      <c r="B44" s="1">
        <f t="shared" si="1"/>
        <v>374.2</v>
      </c>
      <c r="C44" s="1">
        <f t="shared" si="4"/>
        <v>37.42</v>
      </c>
      <c r="D44">
        <v>371.86</v>
      </c>
      <c r="E44">
        <v>3.9</v>
      </c>
      <c r="F44">
        <v>512.75</v>
      </c>
      <c r="G44">
        <v>5.21</v>
      </c>
      <c r="J44" s="1"/>
      <c r="L44">
        <f t="shared" si="5"/>
        <v>0.72522671867381772</v>
      </c>
      <c r="M44">
        <f t="shared" si="6"/>
        <v>1.3788791480664766</v>
      </c>
    </row>
    <row r="45" spans="1:22" ht="12.75" customHeight="1" x14ac:dyDescent="0.25">
      <c r="A45">
        <v>360</v>
      </c>
      <c r="B45" s="1">
        <f t="shared" si="1"/>
        <v>375.2</v>
      </c>
      <c r="C45" s="1">
        <f t="shared" si="4"/>
        <v>37.519999999999996</v>
      </c>
      <c r="D45">
        <v>392.4</v>
      </c>
      <c r="E45">
        <v>4.7699999999999996</v>
      </c>
      <c r="F45">
        <v>511.31</v>
      </c>
      <c r="G45">
        <v>4.84</v>
      </c>
      <c r="L45">
        <f t="shared" si="5"/>
        <v>0.76744049598091169</v>
      </c>
      <c r="M45">
        <f t="shared" si="6"/>
        <v>1.3030326197757391</v>
      </c>
    </row>
    <row r="46" spans="1:22" ht="12.75" customHeight="1" x14ac:dyDescent="0.25">
      <c r="A46">
        <v>365</v>
      </c>
      <c r="B46" s="1">
        <f t="shared" si="1"/>
        <v>380.2</v>
      </c>
      <c r="C46" s="1">
        <f t="shared" si="4"/>
        <v>38.019999999999996</v>
      </c>
      <c r="D46">
        <v>538.25</v>
      </c>
      <c r="E46">
        <v>5.03</v>
      </c>
      <c r="F46">
        <v>517.38</v>
      </c>
      <c r="G46">
        <v>6.02</v>
      </c>
      <c r="L46">
        <f t="shared" si="5"/>
        <v>1.0403378561212262</v>
      </c>
      <c r="M46">
        <f t="shared" si="6"/>
        <v>0.96122619600557357</v>
      </c>
    </row>
    <row r="47" spans="1:22" ht="12.75" customHeight="1" x14ac:dyDescent="0.25">
      <c r="B47" s="1"/>
      <c r="C47" s="1"/>
      <c r="N47" s="1"/>
    </row>
    <row r="48" spans="1:22" ht="12.75" customHeight="1" x14ac:dyDescent="0.25">
      <c r="B48" s="1"/>
      <c r="C48" s="1"/>
    </row>
    <row r="49" spans="2:7" ht="12.75" customHeight="1" x14ac:dyDescent="0.25">
      <c r="B49" s="1"/>
      <c r="C49" s="1"/>
    </row>
    <row r="50" spans="2:7" ht="12.75" customHeight="1" x14ac:dyDescent="0.25">
      <c r="B50" s="1"/>
      <c r="C50" s="1"/>
    </row>
    <row r="51" spans="2:7" ht="12.75" customHeight="1" x14ac:dyDescent="0.25">
      <c r="B51" s="1"/>
      <c r="C51" s="1"/>
    </row>
    <row r="52" spans="2:7" ht="12.75" customHeight="1" x14ac:dyDescent="0.25">
      <c r="B52" s="1"/>
    </row>
    <row r="53" spans="2:7" ht="12.75" customHeight="1" x14ac:dyDescent="0.25">
      <c r="B53" s="1"/>
    </row>
    <row r="54" spans="2:7" ht="12.75" customHeight="1" x14ac:dyDescent="0.25">
      <c r="B54" s="1"/>
    </row>
    <row r="55" spans="2:7" ht="12.75" customHeight="1" x14ac:dyDescent="0.25">
      <c r="B55" s="1"/>
    </row>
    <row r="56" spans="2:7" ht="12.75" customHeight="1" x14ac:dyDescent="0.25">
      <c r="B56" s="1"/>
    </row>
    <row r="57" spans="2:7" ht="12.75" customHeight="1" x14ac:dyDescent="0.25">
      <c r="B57" s="1"/>
    </row>
    <row r="58" spans="2:7" ht="12.75" customHeight="1" x14ac:dyDescent="0.25">
      <c r="B58" s="1"/>
    </row>
    <row r="61" spans="2:7" ht="13.2" x14ac:dyDescent="0.25">
      <c r="D61" s="21"/>
      <c r="E61" s="21"/>
      <c r="F61" s="21"/>
      <c r="G61" s="21"/>
    </row>
    <row r="76" spans="1:7" ht="13.2" x14ac:dyDescent="0.25">
      <c r="D76" s="21"/>
      <c r="E76" s="21"/>
      <c r="F76" s="21"/>
      <c r="G76" s="21"/>
    </row>
    <row r="77" spans="1:7" ht="12.75" customHeight="1" x14ac:dyDescent="0.25">
      <c r="A77" s="1"/>
    </row>
  </sheetData>
  <mergeCells count="9">
    <mergeCell ref="H11:K11"/>
    <mergeCell ref="D61:G61"/>
    <mergeCell ref="D76:G76"/>
    <mergeCell ref="B1:D1"/>
    <mergeCell ref="B2:D2"/>
    <mergeCell ref="B3:D3"/>
    <mergeCell ref="B9:G9"/>
    <mergeCell ref="B11:C11"/>
    <mergeCell ref="D11:G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</vt:lpstr>
      <vt:lpstr>1-Corrected</vt:lpstr>
      <vt:lpstr>2</vt:lpstr>
      <vt:lpstr>2-Corrected</vt:lpstr>
      <vt:lpstr>Sheet1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 Ding</cp:lastModifiedBy>
  <dcterms:modified xsi:type="dcterms:W3CDTF">2019-06-21T19:21:11Z</dcterms:modified>
</cp:coreProperties>
</file>