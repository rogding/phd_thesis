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30" yWindow="600" windowWidth="19815" windowHeight="11445" activeTab="1"/>
  </bookViews>
  <sheets>
    <sheet name="BlueMOTCoil" sheetId="3" r:id="rId1"/>
    <sheet name="RedMOTCoil" sheetId="1" r:id="rId2"/>
  </sheets>
  <calcPr calcId="145621"/>
</workbook>
</file>

<file path=xl/calcChain.xml><?xml version="1.0" encoding="utf-8"?>
<calcChain xmlns="http://schemas.openxmlformats.org/spreadsheetml/2006/main">
  <c r="R26" i="3" l="1"/>
  <c r="R27" i="3"/>
  <c r="R28" i="3"/>
  <c r="R29" i="3"/>
  <c r="R30" i="3"/>
  <c r="R31" i="3"/>
  <c r="R32" i="3"/>
  <c r="R33" i="3"/>
  <c r="R34" i="3"/>
  <c r="R35" i="3"/>
  <c r="R36" i="3"/>
  <c r="R37" i="3"/>
  <c r="R25" i="3"/>
  <c r="Q37" i="3"/>
  <c r="P37" i="3"/>
  <c r="O37" i="3"/>
  <c r="M37" i="3"/>
  <c r="L37" i="3"/>
  <c r="K37" i="3"/>
  <c r="I37" i="3"/>
  <c r="H37" i="3"/>
  <c r="G37" i="3"/>
  <c r="Q36" i="3"/>
  <c r="P36" i="3"/>
  <c r="O36" i="3"/>
  <c r="M36" i="3"/>
  <c r="L36" i="3"/>
  <c r="K36" i="3"/>
  <c r="I36" i="3"/>
  <c r="H36" i="3"/>
  <c r="G36" i="3"/>
  <c r="Q35" i="3"/>
  <c r="S36" i="3" s="1"/>
  <c r="P35" i="3"/>
  <c r="O35" i="3"/>
  <c r="M35" i="3"/>
  <c r="L35" i="3"/>
  <c r="K35" i="3"/>
  <c r="I35" i="3"/>
  <c r="H35" i="3"/>
  <c r="G35" i="3"/>
  <c r="Q34" i="3"/>
  <c r="P34" i="3"/>
  <c r="O34" i="3"/>
  <c r="M34" i="3"/>
  <c r="L34" i="3"/>
  <c r="K34" i="3"/>
  <c r="I34" i="3"/>
  <c r="H34" i="3"/>
  <c r="G34" i="3"/>
  <c r="Q33" i="3"/>
  <c r="P33" i="3"/>
  <c r="O33" i="3"/>
  <c r="M33" i="3"/>
  <c r="L33" i="3"/>
  <c r="K33" i="3"/>
  <c r="I33" i="3"/>
  <c r="H33" i="3"/>
  <c r="G33" i="3"/>
  <c r="Q32" i="3"/>
  <c r="S33" i="3" s="1"/>
  <c r="P32" i="3"/>
  <c r="O32" i="3"/>
  <c r="M32" i="3"/>
  <c r="L32" i="3"/>
  <c r="K32" i="3"/>
  <c r="I32" i="3"/>
  <c r="H32" i="3"/>
  <c r="G32" i="3"/>
  <c r="Q31" i="3"/>
  <c r="S32" i="3" s="1"/>
  <c r="P31" i="3"/>
  <c r="O31" i="3"/>
  <c r="M31" i="3"/>
  <c r="L31" i="3"/>
  <c r="K31" i="3"/>
  <c r="I31" i="3"/>
  <c r="H31" i="3"/>
  <c r="G31" i="3"/>
  <c r="Q30" i="3"/>
  <c r="P30" i="3"/>
  <c r="O30" i="3"/>
  <c r="M30" i="3"/>
  <c r="L30" i="3"/>
  <c r="K30" i="3"/>
  <c r="I30" i="3"/>
  <c r="H30" i="3"/>
  <c r="G30" i="3"/>
  <c r="Q29" i="3"/>
  <c r="P29" i="3"/>
  <c r="O29" i="3"/>
  <c r="M29" i="3"/>
  <c r="L29" i="3"/>
  <c r="K29" i="3"/>
  <c r="I29" i="3"/>
  <c r="H29" i="3"/>
  <c r="G29" i="3"/>
  <c r="Q28" i="3"/>
  <c r="S29" i="3" s="1"/>
  <c r="P28" i="3"/>
  <c r="O28" i="3"/>
  <c r="M28" i="3"/>
  <c r="L28" i="3"/>
  <c r="K28" i="3"/>
  <c r="I28" i="3"/>
  <c r="H28" i="3"/>
  <c r="G28" i="3"/>
  <c r="Q27" i="3"/>
  <c r="S28" i="3" s="1"/>
  <c r="P27" i="3"/>
  <c r="O27" i="3"/>
  <c r="M27" i="3"/>
  <c r="L27" i="3"/>
  <c r="K27" i="3"/>
  <c r="I27" i="3"/>
  <c r="H27" i="3"/>
  <c r="G27" i="3"/>
  <c r="Q26" i="3"/>
  <c r="P26" i="3"/>
  <c r="O26" i="3"/>
  <c r="M26" i="3"/>
  <c r="L26" i="3"/>
  <c r="K26" i="3"/>
  <c r="I26" i="3"/>
  <c r="H26" i="3"/>
  <c r="G26" i="3"/>
  <c r="Q25" i="3"/>
  <c r="P25" i="3"/>
  <c r="O25" i="3"/>
  <c r="M25" i="3"/>
  <c r="L25" i="3"/>
  <c r="K25" i="3"/>
  <c r="I25" i="3"/>
  <c r="H25" i="3"/>
  <c r="G25" i="3"/>
  <c r="B6" i="3"/>
  <c r="B37" i="3" s="1"/>
  <c r="Q37" i="1"/>
  <c r="S36" i="1" s="1"/>
  <c r="P37" i="1"/>
  <c r="O37" i="1"/>
  <c r="M37" i="1"/>
  <c r="L37" i="1"/>
  <c r="K37" i="1"/>
  <c r="I37" i="1"/>
  <c r="H37" i="1"/>
  <c r="G37" i="1"/>
  <c r="Q36" i="1"/>
  <c r="S35" i="1" s="1"/>
  <c r="P36" i="1"/>
  <c r="O36" i="1"/>
  <c r="M36" i="1"/>
  <c r="L36" i="1"/>
  <c r="K36" i="1"/>
  <c r="I36" i="1"/>
  <c r="H36" i="1"/>
  <c r="G36" i="1"/>
  <c r="Q35" i="1"/>
  <c r="P35" i="1"/>
  <c r="O35" i="1"/>
  <c r="M35" i="1"/>
  <c r="L35" i="1"/>
  <c r="K35" i="1"/>
  <c r="I35" i="1"/>
  <c r="H35" i="1"/>
  <c r="G35" i="1"/>
  <c r="Q34" i="1"/>
  <c r="P34" i="1"/>
  <c r="O34" i="1"/>
  <c r="M34" i="1"/>
  <c r="L34" i="1"/>
  <c r="K34" i="1"/>
  <c r="I34" i="1"/>
  <c r="H34" i="1"/>
  <c r="G34" i="1"/>
  <c r="Q33" i="1"/>
  <c r="S34" i="1" s="1"/>
  <c r="P33" i="1"/>
  <c r="O33" i="1"/>
  <c r="M33" i="1"/>
  <c r="L33" i="1"/>
  <c r="K33" i="1"/>
  <c r="I33" i="1"/>
  <c r="H33" i="1"/>
  <c r="G33" i="1"/>
  <c r="Q32" i="1"/>
  <c r="S33" i="1" s="1"/>
  <c r="P32" i="1"/>
  <c r="O32" i="1"/>
  <c r="M32" i="1"/>
  <c r="L32" i="1"/>
  <c r="K32" i="1"/>
  <c r="I32" i="1"/>
  <c r="H32" i="1"/>
  <c r="G32" i="1"/>
  <c r="Q31" i="1"/>
  <c r="S32" i="1" s="1"/>
  <c r="P31" i="1"/>
  <c r="O31" i="1"/>
  <c r="M31" i="1"/>
  <c r="L31" i="1"/>
  <c r="K31" i="1"/>
  <c r="I31" i="1"/>
  <c r="H31" i="1"/>
  <c r="G31" i="1"/>
  <c r="Q30" i="1"/>
  <c r="S31" i="1" s="1"/>
  <c r="P30" i="1"/>
  <c r="O30" i="1"/>
  <c r="M30" i="1"/>
  <c r="L30" i="1"/>
  <c r="K30" i="1"/>
  <c r="I30" i="1"/>
  <c r="H30" i="1"/>
  <c r="G30" i="1"/>
  <c r="Q29" i="1"/>
  <c r="S30" i="1" s="1"/>
  <c r="P29" i="1"/>
  <c r="O29" i="1"/>
  <c r="M29" i="1"/>
  <c r="L29" i="1"/>
  <c r="K29" i="1"/>
  <c r="I29" i="1"/>
  <c r="H29" i="1"/>
  <c r="G29" i="1"/>
  <c r="Q28" i="1"/>
  <c r="S29" i="1" s="1"/>
  <c r="P28" i="1"/>
  <c r="O28" i="1"/>
  <c r="M28" i="1"/>
  <c r="L28" i="1"/>
  <c r="K28" i="1"/>
  <c r="I28" i="1"/>
  <c r="H28" i="1"/>
  <c r="G28" i="1"/>
  <c r="Q27" i="1"/>
  <c r="S28" i="1" s="1"/>
  <c r="P27" i="1"/>
  <c r="O27" i="1"/>
  <c r="M27" i="1"/>
  <c r="L27" i="1"/>
  <c r="K27" i="1"/>
  <c r="I27" i="1"/>
  <c r="H27" i="1"/>
  <c r="G27" i="1"/>
  <c r="Q26" i="1"/>
  <c r="S27" i="1" s="1"/>
  <c r="P26" i="1"/>
  <c r="O26" i="1"/>
  <c r="M26" i="1"/>
  <c r="L26" i="1"/>
  <c r="K26" i="1"/>
  <c r="I26" i="1"/>
  <c r="H26" i="1"/>
  <c r="G26" i="1"/>
  <c r="Q25" i="1"/>
  <c r="S26" i="1" s="1"/>
  <c r="P25" i="1"/>
  <c r="O25" i="1"/>
  <c r="M25" i="1"/>
  <c r="L25" i="1"/>
  <c r="K25" i="1"/>
  <c r="I25" i="1"/>
  <c r="H25" i="1"/>
  <c r="G25" i="1"/>
  <c r="B21" i="1"/>
  <c r="B19" i="1"/>
  <c r="B17" i="1"/>
  <c r="B15" i="1"/>
  <c r="B13" i="1"/>
  <c r="B11" i="1"/>
  <c r="B9" i="1"/>
  <c r="B6" i="1"/>
  <c r="B37" i="1" s="1"/>
  <c r="S27" i="3" l="1"/>
  <c r="S31" i="3"/>
  <c r="S35" i="3"/>
  <c r="S26" i="3"/>
  <c r="S30" i="3"/>
  <c r="S34" i="3"/>
  <c r="B10" i="3"/>
  <c r="B12" i="3"/>
  <c r="B14" i="3"/>
  <c r="B16" i="3"/>
  <c r="B18" i="3"/>
  <c r="B20" i="3"/>
  <c r="B25" i="3"/>
  <c r="B26" i="3"/>
  <c r="B28" i="3"/>
  <c r="B30" i="3"/>
  <c r="B32" i="3"/>
  <c r="B34" i="3"/>
  <c r="B36" i="3"/>
  <c r="B9" i="3"/>
  <c r="B11" i="3"/>
  <c r="B13" i="3"/>
  <c r="B15" i="3"/>
  <c r="B17" i="3"/>
  <c r="B19" i="3"/>
  <c r="B21" i="3"/>
  <c r="B27" i="3"/>
  <c r="B29" i="3"/>
  <c r="B31" i="3"/>
  <c r="B33" i="3"/>
  <c r="B35" i="3"/>
  <c r="B10" i="1"/>
  <c r="B12" i="1"/>
  <c r="B14" i="1"/>
  <c r="B16" i="1"/>
  <c r="B18" i="1"/>
  <c r="B20" i="1"/>
  <c r="B25" i="1"/>
  <c r="B26" i="1"/>
  <c r="B27" i="1"/>
  <c r="B28" i="1"/>
  <c r="B29" i="1"/>
  <c r="B30" i="1"/>
  <c r="B31" i="1"/>
  <c r="B32" i="1"/>
  <c r="B33" i="1"/>
  <c r="B34" i="1"/>
  <c r="B35" i="1"/>
  <c r="B36" i="1"/>
</calcChain>
</file>

<file path=xl/sharedStrings.xml><?xml version="1.0" encoding="utf-8"?>
<sst xmlns="http://schemas.openxmlformats.org/spreadsheetml/2006/main" count="77" uniqueCount="34">
  <si>
    <t>Red Mot Coils Test</t>
  </si>
  <si>
    <t>Red Coil 1 (lower)</t>
  </si>
  <si>
    <t>Red Coil 2 (upper)</t>
  </si>
  <si>
    <t>Red Pair</t>
  </si>
  <si>
    <t>Notes</t>
  </si>
  <si>
    <t>Negative z is B-field going upwards</t>
  </si>
  <si>
    <t>Red coil separation (between bottoms of red coils; ideal: 2.21 in) [in]</t>
  </si>
  <si>
    <t>z bottom of upper red coil [cm]</t>
  </si>
  <si>
    <t>I [A]</t>
  </si>
  <si>
    <t>z top of lower red coil [cm]</t>
  </si>
  <si>
    <t>Vdrop [V]</t>
  </si>
  <si>
    <t>z center [cm]</t>
  </si>
  <si>
    <t>Background B-field</t>
  </si>
  <si>
    <t>With background</t>
  </si>
  <si>
    <t>z [cm]</t>
  </si>
  <si>
    <t>z from center [cm]</t>
  </si>
  <si>
    <t>Bbgx [G]</t>
  </si>
  <si>
    <t>Bbgy [G]</t>
  </si>
  <si>
    <t>Bbgz [G]</t>
  </si>
  <si>
    <t>B1x [G]</t>
  </si>
  <si>
    <t>B1y [G]</t>
  </si>
  <si>
    <t>B1z [G]</t>
  </si>
  <si>
    <t>B2x [G]</t>
  </si>
  <si>
    <t>B2y [G]</t>
  </si>
  <si>
    <t>B2z [G]</t>
  </si>
  <si>
    <t>Bx [G]</t>
  </si>
  <si>
    <t>By [G]</t>
  </si>
  <si>
    <t>Bz [G]</t>
  </si>
  <si>
    <t>Background subtracted</t>
  </si>
  <si>
    <t>Numerical derivative of Bz</t>
  </si>
  <si>
    <t>Blue Coil 1 (lower)</t>
  </si>
  <si>
    <t>Blue Coil 2 (upper)</t>
  </si>
  <si>
    <t>Blue Pair</t>
  </si>
  <si>
    <t>4A*10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</si>
</sst>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B-field for Blue MOT Coil Pair at 4A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Red Pair (x) - background</c:v>
          </c:tx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BlueMOTCoil!$B$25:$B$37</c:f>
              <c:numCache>
                <c:formatCode>General</c:formatCode>
                <c:ptCount val="13"/>
                <c:pt idx="0">
                  <c:v>5.75</c:v>
                </c:pt>
                <c:pt idx="1">
                  <c:v>4.75</c:v>
                </c:pt>
                <c:pt idx="2">
                  <c:v>3.75</c:v>
                </c:pt>
                <c:pt idx="3">
                  <c:v>2.75</c:v>
                </c:pt>
                <c:pt idx="4">
                  <c:v>1.75</c:v>
                </c:pt>
                <c:pt idx="5">
                  <c:v>0.75</c:v>
                </c:pt>
                <c:pt idx="6">
                  <c:v>-0.25</c:v>
                </c:pt>
                <c:pt idx="7">
                  <c:v>-1.25</c:v>
                </c:pt>
                <c:pt idx="8">
                  <c:v>-2.25</c:v>
                </c:pt>
                <c:pt idx="9">
                  <c:v>-3.25</c:v>
                </c:pt>
                <c:pt idx="10">
                  <c:v>-4.25</c:v>
                </c:pt>
                <c:pt idx="11">
                  <c:v>-5.25</c:v>
                </c:pt>
                <c:pt idx="12">
                  <c:v>-6.25</c:v>
                </c:pt>
              </c:numCache>
            </c:numRef>
          </c:xVal>
          <c:yVal>
            <c:numRef>
              <c:f>BlueMOTCoil!$O$25:$O$37</c:f>
              <c:numCache>
                <c:formatCode>General</c:formatCode>
                <c:ptCount val="13"/>
                <c:pt idx="0">
                  <c:v>-0.44</c:v>
                </c:pt>
                <c:pt idx="1">
                  <c:v>-0.53999999999999992</c:v>
                </c:pt>
                <c:pt idx="2">
                  <c:v>-0.76</c:v>
                </c:pt>
                <c:pt idx="3">
                  <c:v>-0.65</c:v>
                </c:pt>
                <c:pt idx="4">
                  <c:v>-0.69</c:v>
                </c:pt>
                <c:pt idx="5">
                  <c:v>-0.53</c:v>
                </c:pt>
                <c:pt idx="6">
                  <c:v>-0.39</c:v>
                </c:pt>
                <c:pt idx="7">
                  <c:v>-0.34</c:v>
                </c:pt>
                <c:pt idx="8">
                  <c:v>-0.25</c:v>
                </c:pt>
                <c:pt idx="9">
                  <c:v>-3.999999999999998E-2</c:v>
                </c:pt>
                <c:pt idx="10">
                  <c:v>0.25</c:v>
                </c:pt>
                <c:pt idx="11">
                  <c:v>0.62</c:v>
                </c:pt>
                <c:pt idx="12">
                  <c:v>0.99</c:v>
                </c:pt>
              </c:numCache>
            </c:numRef>
          </c:yVal>
          <c:smooth val="0"/>
        </c:ser>
        <c:ser>
          <c:idx val="1"/>
          <c:order val="1"/>
          <c:tx>
            <c:v>Red Pair (y) - Background</c:v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BlueMOTCoil!$B$25:$B$37</c:f>
              <c:numCache>
                <c:formatCode>General</c:formatCode>
                <c:ptCount val="13"/>
                <c:pt idx="0">
                  <c:v>5.75</c:v>
                </c:pt>
                <c:pt idx="1">
                  <c:v>4.75</c:v>
                </c:pt>
                <c:pt idx="2">
                  <c:v>3.75</c:v>
                </c:pt>
                <c:pt idx="3">
                  <c:v>2.75</c:v>
                </c:pt>
                <c:pt idx="4">
                  <c:v>1.75</c:v>
                </c:pt>
                <c:pt idx="5">
                  <c:v>0.75</c:v>
                </c:pt>
                <c:pt idx="6">
                  <c:v>-0.25</c:v>
                </c:pt>
                <c:pt idx="7">
                  <c:v>-1.25</c:v>
                </c:pt>
                <c:pt idx="8">
                  <c:v>-2.25</c:v>
                </c:pt>
                <c:pt idx="9">
                  <c:v>-3.25</c:v>
                </c:pt>
                <c:pt idx="10">
                  <c:v>-4.25</c:v>
                </c:pt>
                <c:pt idx="11">
                  <c:v>-5.25</c:v>
                </c:pt>
                <c:pt idx="12">
                  <c:v>-6.25</c:v>
                </c:pt>
              </c:numCache>
            </c:numRef>
          </c:xVal>
          <c:yVal>
            <c:numRef>
              <c:f>BlueMOTCoil!$P$25:$P$37</c:f>
              <c:numCache>
                <c:formatCode>General</c:formatCode>
                <c:ptCount val="13"/>
                <c:pt idx="0">
                  <c:v>0.46</c:v>
                </c:pt>
                <c:pt idx="1">
                  <c:v>-0.35</c:v>
                </c:pt>
                <c:pt idx="2">
                  <c:v>-1.45</c:v>
                </c:pt>
                <c:pt idx="3">
                  <c:v>-2.0099999999999998</c:v>
                </c:pt>
                <c:pt idx="4">
                  <c:v>-2.0299999999999998</c:v>
                </c:pt>
                <c:pt idx="5">
                  <c:v>-1.7500000000000002</c:v>
                </c:pt>
                <c:pt idx="6">
                  <c:v>-1.5799999999999998</c:v>
                </c:pt>
                <c:pt idx="7">
                  <c:v>-1.56</c:v>
                </c:pt>
                <c:pt idx="8">
                  <c:v>-1.44</c:v>
                </c:pt>
                <c:pt idx="9">
                  <c:v>-0.91</c:v>
                </c:pt>
                <c:pt idx="10">
                  <c:v>7.999999999999996E-2</c:v>
                </c:pt>
                <c:pt idx="11">
                  <c:v>1.1600000000000001</c:v>
                </c:pt>
                <c:pt idx="12">
                  <c:v>2</c:v>
                </c:pt>
              </c:numCache>
            </c:numRef>
          </c:yVal>
          <c:smooth val="0"/>
        </c:ser>
        <c:ser>
          <c:idx val="2"/>
          <c:order val="2"/>
          <c:tx>
            <c:v>Red Pair (z) - background</c:v>
          </c:tx>
          <c:spPr>
            <a:ln w="28575">
              <a:noFill/>
            </a:ln>
          </c:spPr>
          <c:marker>
            <c:symbol val="triangle"/>
            <c:size val="5"/>
          </c:marker>
          <c:trendline>
            <c:trendlineType val="poly"/>
            <c:order val="6"/>
            <c:dispRSqr val="0"/>
            <c:dispEq val="1"/>
            <c:trendlineLbl>
              <c:layout>
                <c:manualLayout>
                  <c:x val="-0.28746886246897646"/>
                  <c:y val="0.26546579050008134"/>
                </c:manualLayout>
              </c:layout>
              <c:numFmt formatCode="General" sourceLinked="0"/>
            </c:trendlineLbl>
          </c:trendline>
          <c:xVal>
            <c:numRef>
              <c:f>BlueMOTCoil!$B$25:$B$37</c:f>
              <c:numCache>
                <c:formatCode>General</c:formatCode>
                <c:ptCount val="13"/>
                <c:pt idx="0">
                  <c:v>5.75</c:v>
                </c:pt>
                <c:pt idx="1">
                  <c:v>4.75</c:v>
                </c:pt>
                <c:pt idx="2">
                  <c:v>3.75</c:v>
                </c:pt>
                <c:pt idx="3">
                  <c:v>2.75</c:v>
                </c:pt>
                <c:pt idx="4">
                  <c:v>1.75</c:v>
                </c:pt>
                <c:pt idx="5">
                  <c:v>0.75</c:v>
                </c:pt>
                <c:pt idx="6">
                  <c:v>-0.25</c:v>
                </c:pt>
                <c:pt idx="7">
                  <c:v>-1.25</c:v>
                </c:pt>
                <c:pt idx="8">
                  <c:v>-2.25</c:v>
                </c:pt>
                <c:pt idx="9">
                  <c:v>-3.25</c:v>
                </c:pt>
                <c:pt idx="10">
                  <c:v>-4.25</c:v>
                </c:pt>
                <c:pt idx="11">
                  <c:v>-5.25</c:v>
                </c:pt>
                <c:pt idx="12">
                  <c:v>-6.25</c:v>
                </c:pt>
              </c:numCache>
            </c:numRef>
          </c:xVal>
          <c:yVal>
            <c:numRef>
              <c:f>BlueMOTCoil!$Q$25:$Q$37</c:f>
              <c:numCache>
                <c:formatCode>General</c:formatCode>
                <c:ptCount val="13"/>
                <c:pt idx="0">
                  <c:v>16.68</c:v>
                </c:pt>
                <c:pt idx="1">
                  <c:v>17.61</c:v>
                </c:pt>
                <c:pt idx="2">
                  <c:v>16.090000000000003</c:v>
                </c:pt>
                <c:pt idx="3">
                  <c:v>12.040000000000001</c:v>
                </c:pt>
                <c:pt idx="4">
                  <c:v>7.9899999999999993</c:v>
                </c:pt>
                <c:pt idx="5">
                  <c:v>3.31</c:v>
                </c:pt>
                <c:pt idx="6">
                  <c:v>-1.55</c:v>
                </c:pt>
                <c:pt idx="7">
                  <c:v>-6.59</c:v>
                </c:pt>
                <c:pt idx="8">
                  <c:v>-10.96</c:v>
                </c:pt>
                <c:pt idx="9">
                  <c:v>-14.91</c:v>
                </c:pt>
                <c:pt idx="10">
                  <c:v>-17.350000000000001</c:v>
                </c:pt>
                <c:pt idx="11">
                  <c:v>-17.259999999999998</c:v>
                </c:pt>
                <c:pt idx="12">
                  <c:v>-15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02112"/>
        <c:axId val="46612480"/>
      </c:scatterChart>
      <c:valAx>
        <c:axId val="46602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from coil center [cm]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6612480"/>
        <c:crosses val="autoZero"/>
        <c:crossBetween val="midCat"/>
      </c:valAx>
      <c:valAx>
        <c:axId val="4661248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 [G]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6602112"/>
        <c:crosses val="autoZero"/>
        <c:crossBetween val="midCat"/>
      </c:valAx>
    </c:plotArea>
    <c:legend>
      <c:legendPos val="tr"/>
      <c:layout>
        <c:manualLayout>
          <c:xMode val="edge"/>
          <c:yMode val="edge"/>
          <c:x val="4.434221744617925E-2"/>
          <c:y val="0.10570644222708085"/>
          <c:w val="0.27146946654310278"/>
          <c:h val="0.18150305326588606"/>
        </c:manualLayout>
      </c:layout>
      <c:overlay val="1"/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Numerical Derivative of (Bz-background)</c:v>
          </c:tx>
          <c:spPr>
            <a:ln w="28575">
              <a:noFill/>
            </a:ln>
          </c:spPr>
          <c:trendline>
            <c:trendlineType val="poly"/>
            <c:order val="6"/>
            <c:dispRSqr val="0"/>
            <c:dispEq val="1"/>
            <c:trendlineLbl>
              <c:layout>
                <c:manualLayout>
                  <c:x val="-6.8271331915353159E-2"/>
                  <c:y val="0.18645376304706102"/>
                </c:manualLayout>
              </c:layout>
              <c:numFmt formatCode="General" sourceLinked="0"/>
            </c:trendlineLbl>
          </c:trendline>
          <c:xVal>
            <c:numRef>
              <c:f>BlueMOTCoil!$B$26:$B$36</c:f>
              <c:numCache>
                <c:formatCode>General</c:formatCode>
                <c:ptCount val="11"/>
                <c:pt idx="0">
                  <c:v>4.75</c:v>
                </c:pt>
                <c:pt idx="1">
                  <c:v>3.75</c:v>
                </c:pt>
                <c:pt idx="2">
                  <c:v>2.75</c:v>
                </c:pt>
                <c:pt idx="3">
                  <c:v>1.75</c:v>
                </c:pt>
                <c:pt idx="4">
                  <c:v>0.75</c:v>
                </c:pt>
                <c:pt idx="5">
                  <c:v>-0.25</c:v>
                </c:pt>
                <c:pt idx="6">
                  <c:v>-1.25</c:v>
                </c:pt>
                <c:pt idx="7">
                  <c:v>-2.25</c:v>
                </c:pt>
                <c:pt idx="8">
                  <c:v>-3.25</c:v>
                </c:pt>
                <c:pt idx="9">
                  <c:v>-4.25</c:v>
                </c:pt>
                <c:pt idx="10">
                  <c:v>-5.25</c:v>
                </c:pt>
              </c:numCache>
            </c:numRef>
          </c:xVal>
          <c:yVal>
            <c:numRef>
              <c:f>BlueMOTCoil!$S$26:$S$36</c:f>
              <c:numCache>
                <c:formatCode>General</c:formatCode>
                <c:ptCount val="11"/>
                <c:pt idx="0">
                  <c:v>0.29499999999999815</c:v>
                </c:pt>
                <c:pt idx="1">
                  <c:v>2.7849999999999993</c:v>
                </c:pt>
                <c:pt idx="2">
                  <c:v>4.0500000000000025</c:v>
                </c:pt>
                <c:pt idx="3">
                  <c:v>4.3650000000000002</c:v>
                </c:pt>
                <c:pt idx="4">
                  <c:v>4.7699999999999996</c:v>
                </c:pt>
                <c:pt idx="5">
                  <c:v>4.95</c:v>
                </c:pt>
                <c:pt idx="6">
                  <c:v>4.7050000000000001</c:v>
                </c:pt>
                <c:pt idx="7">
                  <c:v>4.16</c:v>
                </c:pt>
                <c:pt idx="8">
                  <c:v>3.1950000000000003</c:v>
                </c:pt>
                <c:pt idx="9">
                  <c:v>1.1749999999999989</c:v>
                </c:pt>
                <c:pt idx="10">
                  <c:v>-1.1750000000000007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27072"/>
        <c:axId val="46645632"/>
      </c:scatterChart>
      <c:valAx>
        <c:axId val="4662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from coil center [cm]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6645632"/>
        <c:crosses val="autoZero"/>
        <c:crossBetween val="midCat"/>
      </c:valAx>
      <c:valAx>
        <c:axId val="466456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~dB/dz [G/cm]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66270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1"/>
            <c:trendlineLbl>
              <c:layout>
                <c:manualLayout>
                  <c:x val="0.11155656436879015"/>
                  <c:y val="0.44907339752909331"/>
                </c:manualLayout>
              </c:layout>
              <c:tx>
                <c:rich>
                  <a:bodyPr/>
                  <a:lstStyle/>
                  <a:p>
                    <a:pPr>
                      <a:defRPr sz="1400"/>
                    </a:pPr>
                    <a:r>
                      <a:rPr lang="en-US" sz="1400" baseline="0"/>
                      <a:t>y = 46.0x - 3.8
R² = 0.999</a:t>
                    </a:r>
                    <a:endParaRPr lang="en-US" sz="1400"/>
                  </a:p>
                </c:rich>
              </c:tx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tx1"/>
                  </a:solidFill>
                </a:ln>
              </c:spPr>
            </c:trendlineLbl>
          </c:trendline>
          <c:xVal>
            <c:numRef>
              <c:f>BlueMOTCoil!$B$28:$B$34</c:f>
              <c:numCache>
                <c:formatCode>General</c:formatCode>
                <c:ptCount val="7"/>
                <c:pt idx="0">
                  <c:v>2.75</c:v>
                </c:pt>
                <c:pt idx="1">
                  <c:v>1.75</c:v>
                </c:pt>
                <c:pt idx="2">
                  <c:v>0.75</c:v>
                </c:pt>
                <c:pt idx="3">
                  <c:v>-0.25</c:v>
                </c:pt>
                <c:pt idx="4">
                  <c:v>-1.25</c:v>
                </c:pt>
                <c:pt idx="5">
                  <c:v>-2.25</c:v>
                </c:pt>
                <c:pt idx="6">
                  <c:v>-3.25</c:v>
                </c:pt>
              </c:numCache>
            </c:numRef>
          </c:xVal>
          <c:yVal>
            <c:numRef>
              <c:f>BlueMOTCoil!$R$28:$R$34</c:f>
              <c:numCache>
                <c:formatCode>General</c:formatCode>
                <c:ptCount val="7"/>
                <c:pt idx="0">
                  <c:v>120.4</c:v>
                </c:pt>
                <c:pt idx="1">
                  <c:v>79.899999999999991</c:v>
                </c:pt>
                <c:pt idx="2">
                  <c:v>33.1</c:v>
                </c:pt>
                <c:pt idx="3">
                  <c:v>-15.5</c:v>
                </c:pt>
                <c:pt idx="4">
                  <c:v>-65.900000000000006</c:v>
                </c:pt>
                <c:pt idx="5">
                  <c:v>-109.60000000000001</c:v>
                </c:pt>
                <c:pt idx="6">
                  <c:v>-149.1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475200"/>
        <c:axId val="95473664"/>
      </c:scatterChart>
      <c:valAx>
        <c:axId val="954752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2000" b="0"/>
                  <a:t>Axial Position</a:t>
                </a:r>
                <a:r>
                  <a:rPr lang="en-US" sz="2000" b="0" baseline="0"/>
                  <a:t> (cm)</a:t>
                </a:r>
                <a:endParaRPr lang="en-US" sz="2000" b="0"/>
              </a:p>
            </c:rich>
          </c:tx>
          <c:layout>
            <c:manualLayout>
              <c:xMode val="edge"/>
              <c:yMode val="edge"/>
              <c:x val="0.22163413937735368"/>
              <c:y val="0.8470820085442276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solidFill>
            <a:schemeClr val="bg1"/>
          </a:solidFill>
        </c:spPr>
        <c:txPr>
          <a:bodyPr/>
          <a:lstStyle/>
          <a:p>
            <a:pPr>
              <a:defRPr sz="1200"/>
            </a:pPr>
            <a:endParaRPr lang="en-US"/>
          </a:p>
        </c:txPr>
        <c:crossAx val="95473664"/>
        <c:crosses val="autoZero"/>
        <c:crossBetween val="midCat"/>
      </c:valAx>
      <c:valAx>
        <c:axId val="954736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2000"/>
                </a:pPr>
                <a:r>
                  <a:rPr lang="en-US" sz="2000" b="0"/>
                  <a:t>Magnetic Field (G)</a:t>
                </a:r>
              </a:p>
            </c:rich>
          </c:tx>
          <c:layout>
            <c:manualLayout>
              <c:xMode val="edge"/>
              <c:yMode val="edge"/>
              <c:x val="2.3598778988119518E-2"/>
              <c:y val="8.0340127470495196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solidFill>
            <a:schemeClr val="bg1"/>
          </a:solidFill>
          <a:ln>
            <a:noFill/>
          </a:ln>
        </c:spPr>
        <c:txPr>
          <a:bodyPr/>
          <a:lstStyle/>
          <a:p>
            <a:pPr>
              <a:defRPr sz="1200"/>
            </a:pPr>
            <a:endParaRPr lang="en-US"/>
          </a:p>
        </c:txPr>
        <c:crossAx val="954752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B-field for Red MOT Coil Pair at 4A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Red Pair (x) - background</c:v>
          </c:tx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RedMOTCoil!$B$25:$B$37</c:f>
              <c:numCache>
                <c:formatCode>General</c:formatCode>
                <c:ptCount val="13"/>
                <c:pt idx="0">
                  <c:v>5.75</c:v>
                </c:pt>
                <c:pt idx="1">
                  <c:v>4.75</c:v>
                </c:pt>
                <c:pt idx="2">
                  <c:v>3.75</c:v>
                </c:pt>
                <c:pt idx="3">
                  <c:v>2.75</c:v>
                </c:pt>
                <c:pt idx="4">
                  <c:v>1.75</c:v>
                </c:pt>
                <c:pt idx="5">
                  <c:v>0.75</c:v>
                </c:pt>
                <c:pt idx="6">
                  <c:v>-0.25</c:v>
                </c:pt>
                <c:pt idx="7">
                  <c:v>-1.25</c:v>
                </c:pt>
                <c:pt idx="8">
                  <c:v>-2.25</c:v>
                </c:pt>
                <c:pt idx="9">
                  <c:v>-3.25</c:v>
                </c:pt>
                <c:pt idx="10">
                  <c:v>-4.25</c:v>
                </c:pt>
                <c:pt idx="11">
                  <c:v>-5.25</c:v>
                </c:pt>
                <c:pt idx="12">
                  <c:v>-6.25</c:v>
                </c:pt>
              </c:numCache>
            </c:numRef>
          </c:xVal>
          <c:yVal>
            <c:numRef>
              <c:f>RedMOTCoil!$O$25:$O$37</c:f>
              <c:numCache>
                <c:formatCode>General</c:formatCode>
                <c:ptCount val="13"/>
                <c:pt idx="0">
                  <c:v>-0.06</c:v>
                </c:pt>
                <c:pt idx="1">
                  <c:v>-0.10999999999999999</c:v>
                </c:pt>
                <c:pt idx="2">
                  <c:v>-0.32</c:v>
                </c:pt>
                <c:pt idx="3">
                  <c:v>-0.44000000000000006</c:v>
                </c:pt>
                <c:pt idx="4">
                  <c:v>-0.42000000000000004</c:v>
                </c:pt>
                <c:pt idx="5">
                  <c:v>-0.33</c:v>
                </c:pt>
                <c:pt idx="6">
                  <c:v>-0.25</c:v>
                </c:pt>
                <c:pt idx="7">
                  <c:v>-0.15000000000000002</c:v>
                </c:pt>
                <c:pt idx="8">
                  <c:v>0.09</c:v>
                </c:pt>
                <c:pt idx="9">
                  <c:v>0.43000000000000005</c:v>
                </c:pt>
                <c:pt idx="10">
                  <c:v>0.65</c:v>
                </c:pt>
                <c:pt idx="11">
                  <c:v>0.65999999999999992</c:v>
                </c:pt>
                <c:pt idx="12">
                  <c:v>0.61</c:v>
                </c:pt>
              </c:numCache>
            </c:numRef>
          </c:yVal>
          <c:smooth val="0"/>
        </c:ser>
        <c:ser>
          <c:idx val="1"/>
          <c:order val="1"/>
          <c:tx>
            <c:v>Red Pair (y) - Background</c:v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RedMOTCoil!$B$25:$B$37</c:f>
              <c:numCache>
                <c:formatCode>General</c:formatCode>
                <c:ptCount val="13"/>
                <c:pt idx="0">
                  <c:v>5.75</c:v>
                </c:pt>
                <c:pt idx="1">
                  <c:v>4.75</c:v>
                </c:pt>
                <c:pt idx="2">
                  <c:v>3.75</c:v>
                </c:pt>
                <c:pt idx="3">
                  <c:v>2.75</c:v>
                </c:pt>
                <c:pt idx="4">
                  <c:v>1.75</c:v>
                </c:pt>
                <c:pt idx="5">
                  <c:v>0.75</c:v>
                </c:pt>
                <c:pt idx="6">
                  <c:v>-0.25</c:v>
                </c:pt>
                <c:pt idx="7">
                  <c:v>-1.25</c:v>
                </c:pt>
                <c:pt idx="8">
                  <c:v>-2.25</c:v>
                </c:pt>
                <c:pt idx="9">
                  <c:v>-3.25</c:v>
                </c:pt>
                <c:pt idx="10">
                  <c:v>-4.25</c:v>
                </c:pt>
                <c:pt idx="11">
                  <c:v>-5.25</c:v>
                </c:pt>
                <c:pt idx="12">
                  <c:v>-6.25</c:v>
                </c:pt>
              </c:numCache>
            </c:numRef>
          </c:xVal>
          <c:yVal>
            <c:numRef>
              <c:f>RedMOTCoil!$P$25:$P$37</c:f>
              <c:numCache>
                <c:formatCode>General</c:formatCode>
                <c:ptCount val="13"/>
                <c:pt idx="0">
                  <c:v>0.38</c:v>
                </c:pt>
                <c:pt idx="1">
                  <c:v>0.26</c:v>
                </c:pt>
                <c:pt idx="2">
                  <c:v>-0.22999999999999998</c:v>
                </c:pt>
                <c:pt idx="3">
                  <c:v>-0.77</c:v>
                </c:pt>
                <c:pt idx="4">
                  <c:v>-1.1599999999999999</c:v>
                </c:pt>
                <c:pt idx="5">
                  <c:v>-1.31</c:v>
                </c:pt>
                <c:pt idx="6">
                  <c:v>-1.28</c:v>
                </c:pt>
                <c:pt idx="7">
                  <c:v>-1.03</c:v>
                </c:pt>
                <c:pt idx="8">
                  <c:v>-0.43999999999999995</c:v>
                </c:pt>
                <c:pt idx="9">
                  <c:v>0.3</c:v>
                </c:pt>
                <c:pt idx="10">
                  <c:v>0.87999999999999989</c:v>
                </c:pt>
                <c:pt idx="11">
                  <c:v>0.98</c:v>
                </c:pt>
                <c:pt idx="12">
                  <c:v>0.85</c:v>
                </c:pt>
              </c:numCache>
            </c:numRef>
          </c:yVal>
          <c:smooth val="0"/>
        </c:ser>
        <c:ser>
          <c:idx val="2"/>
          <c:order val="2"/>
          <c:tx>
            <c:v>Red Pair (z) - background</c:v>
          </c:tx>
          <c:spPr>
            <a:ln w="28575">
              <a:noFill/>
            </a:ln>
          </c:spPr>
          <c:marker>
            <c:symbol val="triangle"/>
            <c:size val="5"/>
          </c:marker>
          <c:trendline>
            <c:trendlineType val="poly"/>
            <c:order val="6"/>
            <c:dispRSqr val="0"/>
            <c:dispEq val="1"/>
            <c:trendlineLbl>
              <c:layout>
                <c:manualLayout>
                  <c:x val="-0.30253349652617201"/>
                  <c:y val="0.14424384397343054"/>
                </c:manualLayout>
              </c:layout>
              <c:numFmt formatCode="General" sourceLinked="0"/>
            </c:trendlineLbl>
          </c:trendline>
          <c:xVal>
            <c:numRef>
              <c:f>RedMOTCoil!$B$25:$B$37</c:f>
              <c:numCache>
                <c:formatCode>General</c:formatCode>
                <c:ptCount val="13"/>
                <c:pt idx="0">
                  <c:v>5.75</c:v>
                </c:pt>
                <c:pt idx="1">
                  <c:v>4.75</c:v>
                </c:pt>
                <c:pt idx="2">
                  <c:v>3.75</c:v>
                </c:pt>
                <c:pt idx="3">
                  <c:v>2.75</c:v>
                </c:pt>
                <c:pt idx="4">
                  <c:v>1.75</c:v>
                </c:pt>
                <c:pt idx="5">
                  <c:v>0.75</c:v>
                </c:pt>
                <c:pt idx="6">
                  <c:v>-0.25</c:v>
                </c:pt>
                <c:pt idx="7">
                  <c:v>-1.25</c:v>
                </c:pt>
                <c:pt idx="8">
                  <c:v>-2.25</c:v>
                </c:pt>
                <c:pt idx="9">
                  <c:v>-3.25</c:v>
                </c:pt>
                <c:pt idx="10">
                  <c:v>-4.25</c:v>
                </c:pt>
                <c:pt idx="11">
                  <c:v>-5.25</c:v>
                </c:pt>
                <c:pt idx="12">
                  <c:v>-6.25</c:v>
                </c:pt>
              </c:numCache>
            </c:numRef>
          </c:xVal>
          <c:yVal>
            <c:numRef>
              <c:f>RedMOTCoil!$Q$25:$Q$37</c:f>
              <c:numCache>
                <c:formatCode>General</c:formatCode>
                <c:ptCount val="13"/>
                <c:pt idx="0">
                  <c:v>6.0600000000000005</c:v>
                </c:pt>
                <c:pt idx="1">
                  <c:v>7.8800000000000008</c:v>
                </c:pt>
                <c:pt idx="2">
                  <c:v>9.11</c:v>
                </c:pt>
                <c:pt idx="3">
                  <c:v>8.48</c:v>
                </c:pt>
                <c:pt idx="4">
                  <c:v>6.26</c:v>
                </c:pt>
                <c:pt idx="5">
                  <c:v>3.0100000000000002</c:v>
                </c:pt>
                <c:pt idx="6">
                  <c:v>-1.0899999999999999</c:v>
                </c:pt>
                <c:pt idx="7">
                  <c:v>-4.8900000000000006</c:v>
                </c:pt>
                <c:pt idx="8">
                  <c:v>-7.43</c:v>
                </c:pt>
                <c:pt idx="9">
                  <c:v>-8.4699999999999989</c:v>
                </c:pt>
                <c:pt idx="10">
                  <c:v>-7.83</c:v>
                </c:pt>
                <c:pt idx="11">
                  <c:v>-6.38</c:v>
                </c:pt>
                <c:pt idx="12">
                  <c:v>-4.58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39232"/>
        <c:axId val="47445504"/>
      </c:scatterChart>
      <c:valAx>
        <c:axId val="47439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from coil center [cm]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7445504"/>
        <c:crosses val="autoZero"/>
        <c:crossBetween val="midCat"/>
      </c:valAx>
      <c:valAx>
        <c:axId val="4744550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 [G]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7439232"/>
        <c:crosses val="autoZero"/>
        <c:crossBetween val="midCat"/>
      </c:valAx>
    </c:plotArea>
    <c:legend>
      <c:legendPos val="tr"/>
      <c:layout>
        <c:manualLayout>
          <c:xMode val="edge"/>
          <c:yMode val="edge"/>
          <c:x val="4.4342217446179215E-2"/>
          <c:y val="0.10570644222708078"/>
          <c:w val="0.27146946654310278"/>
          <c:h val="0.18150305326588606"/>
        </c:manualLayout>
      </c:layout>
      <c:overlay val="1"/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Numerical Derivative of (Bz-background)</c:v>
          </c:tx>
          <c:spPr>
            <a:ln w="28575">
              <a:noFill/>
            </a:ln>
          </c:spPr>
          <c:trendline>
            <c:trendlineType val="poly"/>
            <c:order val="6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RedMOTCoil!$B$26:$B$36</c:f>
              <c:numCache>
                <c:formatCode>General</c:formatCode>
                <c:ptCount val="11"/>
                <c:pt idx="0">
                  <c:v>4.75</c:v>
                </c:pt>
                <c:pt idx="1">
                  <c:v>3.75</c:v>
                </c:pt>
                <c:pt idx="2">
                  <c:v>2.75</c:v>
                </c:pt>
                <c:pt idx="3">
                  <c:v>1.75</c:v>
                </c:pt>
                <c:pt idx="4">
                  <c:v>0.75</c:v>
                </c:pt>
                <c:pt idx="5">
                  <c:v>-0.25</c:v>
                </c:pt>
                <c:pt idx="6">
                  <c:v>-1.25</c:v>
                </c:pt>
                <c:pt idx="7">
                  <c:v>-2.25</c:v>
                </c:pt>
                <c:pt idx="8">
                  <c:v>-3.25</c:v>
                </c:pt>
                <c:pt idx="9">
                  <c:v>-4.25</c:v>
                </c:pt>
                <c:pt idx="10">
                  <c:v>-5.25</c:v>
                </c:pt>
              </c:numCache>
            </c:numRef>
          </c:xVal>
          <c:yVal>
            <c:numRef>
              <c:f>RedMOTCoil!$S$26:$S$36</c:f>
              <c:numCache>
                <c:formatCode>General</c:formatCode>
                <c:ptCount val="11"/>
                <c:pt idx="0">
                  <c:v>-1.5249999999999995</c:v>
                </c:pt>
                <c:pt idx="1">
                  <c:v>-0.29999999999999982</c:v>
                </c:pt>
                <c:pt idx="2">
                  <c:v>1.4249999999999998</c:v>
                </c:pt>
                <c:pt idx="3">
                  <c:v>2.7350000000000003</c:v>
                </c:pt>
                <c:pt idx="4">
                  <c:v>3.6749999999999998</c:v>
                </c:pt>
                <c:pt idx="5">
                  <c:v>3.95</c:v>
                </c:pt>
                <c:pt idx="6">
                  <c:v>3.17</c:v>
                </c:pt>
                <c:pt idx="7">
                  <c:v>1.7899999999999991</c:v>
                </c:pt>
                <c:pt idx="8">
                  <c:v>0.20000000000000018</c:v>
                </c:pt>
                <c:pt idx="9">
                  <c:v>-1.0449999999999995</c:v>
                </c:pt>
                <c:pt idx="10">
                  <c:v>-1.625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84288"/>
        <c:axId val="47490560"/>
      </c:scatterChart>
      <c:valAx>
        <c:axId val="47484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from coil center [cm]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7490560"/>
        <c:crosses val="autoZero"/>
        <c:crossBetween val="midCat"/>
      </c:valAx>
      <c:valAx>
        <c:axId val="4749056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~dB/dz [G/cm]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74842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369794</xdr:colOff>
      <xdr:row>40</xdr:row>
      <xdr:rowOff>142873</xdr:rowOff>
    </xdr:from>
    <xdr:to>
      <xdr:col>16</xdr:col>
      <xdr:colOff>981076</xdr:colOff>
      <xdr:row>72</xdr:row>
      <xdr:rowOff>22411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1114424</xdr:colOff>
      <xdr:row>43</xdr:row>
      <xdr:rowOff>0</xdr:rowOff>
    </xdr:from>
    <xdr:to>
      <xdr:col>21</xdr:col>
      <xdr:colOff>361949</xdr:colOff>
      <xdr:row>68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666756</xdr:colOff>
      <xdr:row>6</xdr:row>
      <xdr:rowOff>138112</xdr:rowOff>
    </xdr:from>
    <xdr:to>
      <xdr:col>17</xdr:col>
      <xdr:colOff>533399</xdr:colOff>
      <xdr:row>23</xdr:row>
      <xdr:rowOff>28575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0.55659</cdr:x>
      <cdr:y>0.66597</cdr:y>
    </cdr:from>
    <cdr:to>
      <cdr:x>0.9814</cdr:x>
      <cdr:y>0.89144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419476" y="3038476"/>
          <a:ext cx="2609850" cy="102870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latin typeface="+mn-lt"/>
              <a:ea typeface="+mn-ea"/>
              <a:cs typeface="+mn-cs"/>
            </a:rPr>
            <a:t>-Estimated error of +/-0.5</a:t>
          </a:r>
          <a:r>
            <a:rPr lang="en-US" sz="1100" baseline="0">
              <a:latin typeface="+mn-lt"/>
              <a:ea typeface="+mn-ea"/>
              <a:cs typeface="+mn-cs"/>
            </a:rPr>
            <a:t> cm from center in xy-plane</a:t>
          </a:r>
          <a:endParaRPr lang="en-US"/>
        </a:p>
        <a:p xmlns:a="http://schemas.openxmlformats.org/drawingml/2006/main">
          <a:r>
            <a:rPr lang="en-US" sz="1100" baseline="0">
              <a:latin typeface="+mn-lt"/>
              <a:ea typeface="+mn-ea"/>
              <a:cs typeface="+mn-cs"/>
            </a:rPr>
            <a:t>-Estimated error of +/- 0.5 cm along z-axis</a:t>
          </a:r>
          <a:endParaRPr lang="en-US"/>
        </a:p>
        <a:p xmlns:a="http://schemas.openxmlformats.org/drawingml/2006/main">
          <a:pPr eaLnBrk="1" fontAlgn="auto" latinLnBrk="0" hangingPunct="1"/>
          <a:r>
            <a:rPr lang="en-US" sz="1100">
              <a:latin typeface="+mn-lt"/>
              <a:ea typeface="+mn-ea"/>
              <a:cs typeface="+mn-cs"/>
            </a:rPr>
            <a:t>-Estimated error of +/-0.05</a:t>
          </a:r>
          <a:r>
            <a:rPr lang="en-US" sz="1100" baseline="0">
              <a:latin typeface="+mn-lt"/>
              <a:ea typeface="+mn-ea"/>
              <a:cs typeface="+mn-cs"/>
            </a:rPr>
            <a:t> G</a:t>
          </a:r>
          <a:endParaRPr lang="en-US" sz="1100">
            <a:latin typeface="+mn-lt"/>
            <a:ea typeface="+mn-ea"/>
            <a:cs typeface="+mn-cs"/>
          </a:endParaRPr>
        </a:p>
      </cdr:txBody>
    </cdr:sp>
  </cdr:relSizeAnchor>
  <cdr:relSizeAnchor xmlns:cdr="http://schemas.openxmlformats.org/drawingml/2006/chartDrawing">
    <cdr:from>
      <cdr:x>0.67287</cdr:x>
      <cdr:y>0.36952</cdr:y>
    </cdr:from>
    <cdr:to>
      <cdr:x>0.93643</cdr:x>
      <cdr:y>0.44259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4133850" y="1685925"/>
          <a:ext cx="1619250" cy="33337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6th order polynomial fit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0.66011</cdr:x>
      <cdr:y>0.1814</cdr:y>
    </cdr:from>
    <cdr:to>
      <cdr:x>0.96422</cdr:x>
      <cdr:y>0.26279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14726" y="742950"/>
          <a:ext cx="1619250" cy="33337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6th order polynomial fit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369794</xdr:colOff>
      <xdr:row>40</xdr:row>
      <xdr:rowOff>142873</xdr:rowOff>
    </xdr:from>
    <xdr:to>
      <xdr:col>16</xdr:col>
      <xdr:colOff>981076</xdr:colOff>
      <xdr:row>72</xdr:row>
      <xdr:rowOff>22411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1114424</xdr:colOff>
      <xdr:row>43</xdr:row>
      <xdr:rowOff>0</xdr:rowOff>
    </xdr:from>
    <xdr:to>
      <xdr:col>21</xdr:col>
      <xdr:colOff>361949</xdr:colOff>
      <xdr:row>68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0.55659</cdr:x>
      <cdr:y>0.66597</cdr:y>
    </cdr:from>
    <cdr:to>
      <cdr:x>0.9814</cdr:x>
      <cdr:y>0.89144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419476" y="3038476"/>
          <a:ext cx="2609850" cy="102870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-Estimated error of +/-0.5</a:t>
          </a:r>
          <a:r>
            <a:rPr lang="en-US" sz="1100" baseline="0"/>
            <a:t> cm from center in xy-plane</a:t>
          </a:r>
        </a:p>
        <a:p xmlns:a="http://schemas.openxmlformats.org/drawingml/2006/main">
          <a:r>
            <a:rPr lang="en-US" sz="1100" baseline="0"/>
            <a:t>-Estimated error of +/- 0.5 cm along z-axis</a:t>
          </a:r>
        </a:p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+mn-lt"/>
              <a:ea typeface="+mn-ea"/>
              <a:cs typeface="+mn-cs"/>
            </a:rPr>
            <a:t>-Estimated error of +/-0.05</a:t>
          </a:r>
          <a:r>
            <a:rPr lang="en-US" sz="1100" baseline="0">
              <a:latin typeface="+mn-lt"/>
              <a:ea typeface="+mn-ea"/>
              <a:cs typeface="+mn-cs"/>
            </a:rPr>
            <a:t> G</a:t>
          </a:r>
          <a:endParaRPr lang="en-US" sz="1100">
            <a:latin typeface="+mn-lt"/>
            <a:ea typeface="+mn-ea"/>
            <a:cs typeface="+mn-cs"/>
          </a:endParaRPr>
        </a:p>
      </cdr:txBody>
    </cdr:sp>
  </cdr:relSizeAnchor>
  <cdr:relSizeAnchor xmlns:cdr="http://schemas.openxmlformats.org/drawingml/2006/chartDrawing">
    <cdr:from>
      <cdr:x>0.67287</cdr:x>
      <cdr:y>0.36952</cdr:y>
    </cdr:from>
    <cdr:to>
      <cdr:x>0.93643</cdr:x>
      <cdr:y>0.44259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4133850" y="1685925"/>
          <a:ext cx="1619250" cy="33337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6th order polynomial fit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0.66011</cdr:x>
      <cdr:y>0.1814</cdr:y>
    </cdr:from>
    <cdr:to>
      <cdr:x>0.96422</cdr:x>
      <cdr:y>0.26279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14726" y="742950"/>
          <a:ext cx="1619250" cy="33337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6th order polynomial fit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"/>
  <sheetViews>
    <sheetView zoomScaleNormal="100" workbookViewId="0">
      <pane xSplit="2" topLeftCell="H1" activePane="topRight" state="frozen"/>
      <selection pane="topRight" activeCell="R17" sqref="R17"/>
    </sheetView>
  </sheetViews>
  <sheetFormatPr defaultColWidth="17.140625" defaultRowHeight="12.75" customHeight="1" x14ac:dyDescent="0.2"/>
  <cols>
    <col min="1" max="1" width="26" customWidth="1"/>
    <col min="19" max="19" width="22.5703125" bestFit="1" customWidth="1"/>
  </cols>
  <sheetData>
    <row r="1" spans="1:17" ht="12.75" customHeight="1" x14ac:dyDescent="0.2">
      <c r="A1" t="s">
        <v>0</v>
      </c>
      <c r="G1" s="3" t="s">
        <v>30</v>
      </c>
      <c r="H1" s="2"/>
      <c r="I1" s="2"/>
      <c r="K1" s="3" t="s">
        <v>31</v>
      </c>
      <c r="L1" s="2"/>
      <c r="M1" s="2"/>
      <c r="O1" s="3" t="s">
        <v>32</v>
      </c>
      <c r="P1" s="2"/>
      <c r="Q1" s="2"/>
    </row>
    <row r="2" spans="1:17" ht="12.75" customHeight="1" x14ac:dyDescent="0.2">
      <c r="A2" t="s">
        <v>4</v>
      </c>
      <c r="B2" t="s">
        <v>5</v>
      </c>
    </row>
    <row r="3" spans="1:17" ht="12.75" customHeight="1" x14ac:dyDescent="0.2">
      <c r="A3" t="s">
        <v>6</v>
      </c>
      <c r="B3">
        <v>2.19</v>
      </c>
    </row>
    <row r="4" spans="1:17" ht="12.75" customHeight="1" x14ac:dyDescent="0.2">
      <c r="A4" t="s">
        <v>7</v>
      </c>
      <c r="B4">
        <v>65</v>
      </c>
      <c r="G4" t="s">
        <v>8</v>
      </c>
      <c r="H4">
        <v>4</v>
      </c>
      <c r="K4" t="s">
        <v>8</v>
      </c>
      <c r="L4">
        <v>4</v>
      </c>
      <c r="O4" t="s">
        <v>8</v>
      </c>
      <c r="P4">
        <v>4</v>
      </c>
    </row>
    <row r="5" spans="1:17" ht="12.75" customHeight="1" x14ac:dyDescent="0.2">
      <c r="A5" t="s">
        <v>9</v>
      </c>
      <c r="B5">
        <v>70.5</v>
      </c>
      <c r="G5" t="s">
        <v>10</v>
      </c>
      <c r="H5">
        <v>0.3</v>
      </c>
      <c r="K5" t="s">
        <v>10</v>
      </c>
      <c r="L5">
        <v>0.3</v>
      </c>
      <c r="O5" t="s">
        <v>10</v>
      </c>
      <c r="P5">
        <v>0.7</v>
      </c>
    </row>
    <row r="6" spans="1:17" ht="12.75" customHeight="1" x14ac:dyDescent="0.2">
      <c r="A6" t="s">
        <v>11</v>
      </c>
      <c r="B6">
        <f>(B5+B4)/2</f>
        <v>67.75</v>
      </c>
    </row>
    <row r="7" spans="1:17" ht="12.75" customHeight="1" x14ac:dyDescent="0.2">
      <c r="C7" s="2" t="s">
        <v>12</v>
      </c>
      <c r="D7" s="2"/>
      <c r="E7" s="2"/>
      <c r="G7" s="2" t="s">
        <v>13</v>
      </c>
      <c r="H7" s="2"/>
      <c r="I7" s="2"/>
      <c r="K7" s="2" t="s">
        <v>13</v>
      </c>
      <c r="L7" s="2"/>
      <c r="M7" s="2"/>
      <c r="O7" s="2" t="s">
        <v>13</v>
      </c>
      <c r="P7" s="2"/>
      <c r="Q7" s="2"/>
    </row>
    <row r="8" spans="1:17" ht="12.75" customHeight="1" x14ac:dyDescent="0.2">
      <c r="A8" t="s">
        <v>14</v>
      </c>
      <c r="B8" t="s">
        <v>15</v>
      </c>
      <c r="C8" t="s">
        <v>16</v>
      </c>
      <c r="D8" t="s">
        <v>17</v>
      </c>
      <c r="E8" t="s">
        <v>18</v>
      </c>
      <c r="G8" t="s">
        <v>19</v>
      </c>
      <c r="H8" t="s">
        <v>20</v>
      </c>
      <c r="I8" t="s">
        <v>21</v>
      </c>
      <c r="K8" t="s">
        <v>22</v>
      </c>
      <c r="L8" t="s">
        <v>23</v>
      </c>
      <c r="M8" t="s">
        <v>24</v>
      </c>
      <c r="O8" t="s">
        <v>25</v>
      </c>
      <c r="P8" t="s">
        <v>26</v>
      </c>
      <c r="Q8" t="s">
        <v>27</v>
      </c>
    </row>
    <row r="9" spans="1:17" ht="12.75" customHeight="1" x14ac:dyDescent="0.2">
      <c r="A9">
        <v>62</v>
      </c>
      <c r="B9">
        <f t="shared" ref="B9:B21" si="0">$B$6-A9</f>
        <v>5.75</v>
      </c>
      <c r="C9">
        <v>-0.06</v>
      </c>
      <c r="D9">
        <v>-0.28000000000000003</v>
      </c>
      <c r="E9">
        <v>0.01</v>
      </c>
      <c r="G9">
        <v>0.1</v>
      </c>
      <c r="H9">
        <v>-0.25</v>
      </c>
      <c r="I9">
        <v>-1.35</v>
      </c>
      <c r="K9">
        <v>-0.72</v>
      </c>
      <c r="L9">
        <v>0.26</v>
      </c>
      <c r="M9">
        <v>17.96</v>
      </c>
      <c r="O9">
        <v>-0.5</v>
      </c>
      <c r="P9">
        <v>0.18</v>
      </c>
      <c r="Q9">
        <v>16.690000000000001</v>
      </c>
    </row>
    <row r="10" spans="1:17" ht="12.75" customHeight="1" x14ac:dyDescent="0.2">
      <c r="A10">
        <v>63</v>
      </c>
      <c r="B10">
        <f t="shared" si="0"/>
        <v>4.75</v>
      </c>
      <c r="C10">
        <v>-0.28000000000000003</v>
      </c>
      <c r="D10">
        <v>-0.63</v>
      </c>
      <c r="E10">
        <v>0.18</v>
      </c>
      <c r="G10">
        <v>-0.14000000000000001</v>
      </c>
      <c r="H10">
        <v>-0.62</v>
      </c>
      <c r="I10">
        <v>-1.68</v>
      </c>
      <c r="K10">
        <v>-1.29</v>
      </c>
      <c r="L10">
        <v>-0.97</v>
      </c>
      <c r="M10">
        <v>19.38</v>
      </c>
      <c r="O10">
        <v>-0.82</v>
      </c>
      <c r="P10">
        <v>-0.98</v>
      </c>
      <c r="Q10">
        <v>17.79</v>
      </c>
    </row>
    <row r="11" spans="1:17" ht="12.75" customHeight="1" x14ac:dyDescent="0.2">
      <c r="A11">
        <v>64</v>
      </c>
      <c r="B11">
        <f t="shared" si="0"/>
        <v>3.75</v>
      </c>
      <c r="C11">
        <v>-0.18</v>
      </c>
      <c r="D11">
        <v>-0.54</v>
      </c>
      <c r="E11">
        <v>0.33</v>
      </c>
      <c r="G11">
        <v>-0.13</v>
      </c>
      <c r="H11">
        <v>-0.2</v>
      </c>
      <c r="I11">
        <v>-1.9</v>
      </c>
      <c r="K11">
        <v>-1.53</v>
      </c>
      <c r="L11">
        <v>-1.92</v>
      </c>
      <c r="M11">
        <v>18.5</v>
      </c>
      <c r="O11">
        <v>-0.94</v>
      </c>
      <c r="P11">
        <v>-1.99</v>
      </c>
      <c r="Q11">
        <v>16.420000000000002</v>
      </c>
    </row>
    <row r="12" spans="1:17" ht="12.75" customHeight="1" x14ac:dyDescent="0.2">
      <c r="A12">
        <v>65</v>
      </c>
      <c r="B12">
        <f t="shared" si="0"/>
        <v>2.75</v>
      </c>
      <c r="C12">
        <v>-0.1</v>
      </c>
      <c r="D12">
        <v>-0.56000000000000005</v>
      </c>
      <c r="E12">
        <v>0.52</v>
      </c>
      <c r="G12">
        <v>-7.0000000000000007E-2</v>
      </c>
      <c r="H12">
        <v>-0.71</v>
      </c>
      <c r="I12">
        <v>-2.59</v>
      </c>
      <c r="K12">
        <v>-1.26</v>
      </c>
      <c r="L12">
        <v>-2.4500000000000002</v>
      </c>
      <c r="M12">
        <v>15.53</v>
      </c>
      <c r="O12">
        <v>-0.75</v>
      </c>
      <c r="P12">
        <v>-2.57</v>
      </c>
      <c r="Q12">
        <v>12.56</v>
      </c>
    </row>
    <row r="13" spans="1:17" ht="12.75" customHeight="1" x14ac:dyDescent="0.2">
      <c r="A13">
        <v>66</v>
      </c>
      <c r="B13">
        <f t="shared" si="0"/>
        <v>1.75</v>
      </c>
      <c r="C13">
        <v>0.27</v>
      </c>
      <c r="D13">
        <v>-0.33</v>
      </c>
      <c r="E13">
        <v>0.55000000000000004</v>
      </c>
      <c r="G13">
        <v>0.22</v>
      </c>
      <c r="H13">
        <v>-0.7</v>
      </c>
      <c r="I13">
        <v>-3.58</v>
      </c>
      <c r="K13">
        <v>-0.74</v>
      </c>
      <c r="L13">
        <v>-2.19</v>
      </c>
      <c r="M13">
        <v>12.42</v>
      </c>
      <c r="O13">
        <v>-0.42</v>
      </c>
      <c r="P13">
        <v>-2.36</v>
      </c>
      <c r="Q13">
        <v>8.5399999999999991</v>
      </c>
    </row>
    <row r="14" spans="1:17" ht="12.75" customHeight="1" x14ac:dyDescent="0.2">
      <c r="A14">
        <v>67</v>
      </c>
      <c r="B14">
        <f t="shared" si="0"/>
        <v>0.75</v>
      </c>
      <c r="C14">
        <v>0.14000000000000001</v>
      </c>
      <c r="D14">
        <v>-0.45</v>
      </c>
      <c r="E14">
        <v>0.13</v>
      </c>
      <c r="G14">
        <v>0.13</v>
      </c>
      <c r="H14">
        <v>-0.98</v>
      </c>
      <c r="I14">
        <v>-5.43</v>
      </c>
      <c r="K14">
        <v>-0.68</v>
      </c>
      <c r="L14">
        <v>-1.97</v>
      </c>
      <c r="M14">
        <v>8.89</v>
      </c>
      <c r="O14">
        <v>-0.39</v>
      </c>
      <c r="P14">
        <v>-2.2000000000000002</v>
      </c>
      <c r="Q14">
        <v>3.44</v>
      </c>
    </row>
    <row r="15" spans="1:17" ht="12.75" customHeight="1" x14ac:dyDescent="0.2">
      <c r="A15">
        <v>68</v>
      </c>
      <c r="B15">
        <f t="shared" si="0"/>
        <v>-0.25</v>
      </c>
      <c r="C15">
        <v>-0.26</v>
      </c>
      <c r="D15">
        <v>-0.72</v>
      </c>
      <c r="E15">
        <v>0.26</v>
      </c>
      <c r="G15">
        <v>-0.2</v>
      </c>
      <c r="H15">
        <v>-1.53</v>
      </c>
      <c r="I15">
        <v>-7.67</v>
      </c>
      <c r="K15">
        <v>-0.8</v>
      </c>
      <c r="L15">
        <v>-1.88</v>
      </c>
      <c r="M15">
        <v>6.38</v>
      </c>
      <c r="O15">
        <v>-0.65</v>
      </c>
      <c r="P15">
        <v>-2.2999999999999998</v>
      </c>
      <c r="Q15">
        <v>-1.29</v>
      </c>
    </row>
    <row r="16" spans="1:17" ht="12.75" customHeight="1" x14ac:dyDescent="0.2">
      <c r="A16">
        <v>69</v>
      </c>
      <c r="B16">
        <f t="shared" si="0"/>
        <v>-1.25</v>
      </c>
      <c r="C16">
        <v>-0.18</v>
      </c>
      <c r="D16">
        <v>-0.56000000000000005</v>
      </c>
      <c r="E16">
        <v>0.73</v>
      </c>
      <c r="G16">
        <v>-0.16</v>
      </c>
      <c r="H16">
        <v>-1.7</v>
      </c>
      <c r="I16">
        <v>-10.29</v>
      </c>
      <c r="K16">
        <v>-0.59</v>
      </c>
      <c r="L16">
        <v>-1.61</v>
      </c>
      <c r="M16">
        <v>4.9400000000000004</v>
      </c>
      <c r="O16">
        <v>-0.52</v>
      </c>
      <c r="P16">
        <v>-2.12</v>
      </c>
      <c r="Q16">
        <v>-5.86</v>
      </c>
    </row>
    <row r="17" spans="1:19" ht="12.75" customHeight="1" x14ac:dyDescent="0.2">
      <c r="A17">
        <v>70</v>
      </c>
      <c r="B17">
        <f t="shared" si="0"/>
        <v>-2.25</v>
      </c>
      <c r="C17">
        <v>-0.15</v>
      </c>
      <c r="D17">
        <v>-0.51</v>
      </c>
      <c r="E17">
        <v>0.33</v>
      </c>
      <c r="G17">
        <v>-0.04</v>
      </c>
      <c r="H17">
        <v>-1.69</v>
      </c>
      <c r="I17">
        <v>-14.03</v>
      </c>
      <c r="K17">
        <v>-0.45</v>
      </c>
      <c r="L17">
        <v>-1.5</v>
      </c>
      <c r="M17">
        <v>3.57</v>
      </c>
      <c r="O17">
        <v>-0.4</v>
      </c>
      <c r="P17">
        <v>-1.95</v>
      </c>
      <c r="Q17">
        <v>-10.63</v>
      </c>
    </row>
    <row r="18" spans="1:19" ht="12.75" customHeight="1" x14ac:dyDescent="0.2">
      <c r="A18">
        <v>71</v>
      </c>
      <c r="B18">
        <f t="shared" si="0"/>
        <v>-3.25</v>
      </c>
      <c r="C18">
        <v>-0.4</v>
      </c>
      <c r="D18">
        <v>-0.6</v>
      </c>
      <c r="E18">
        <v>0.36</v>
      </c>
      <c r="G18">
        <v>7.0000000000000007E-2</v>
      </c>
      <c r="H18">
        <v>-1.39</v>
      </c>
      <c r="I18">
        <v>-16.899999999999999</v>
      </c>
      <c r="K18">
        <v>-0.54</v>
      </c>
      <c r="L18">
        <v>-1.45</v>
      </c>
      <c r="M18">
        <v>3.05</v>
      </c>
      <c r="O18">
        <v>-0.44</v>
      </c>
      <c r="P18">
        <v>-1.51</v>
      </c>
      <c r="Q18">
        <v>-14.55</v>
      </c>
    </row>
    <row r="19" spans="1:19" ht="12.75" customHeight="1" x14ac:dyDescent="0.2">
      <c r="A19">
        <v>72</v>
      </c>
      <c r="B19">
        <f t="shared" si="0"/>
        <v>-4.25</v>
      </c>
      <c r="C19">
        <v>-0.4</v>
      </c>
      <c r="D19">
        <v>-0.57999999999999996</v>
      </c>
      <c r="E19">
        <v>0.32</v>
      </c>
      <c r="G19">
        <v>0.49</v>
      </c>
      <c r="H19">
        <v>-0.33</v>
      </c>
      <c r="I19">
        <v>-18.77</v>
      </c>
      <c r="K19">
        <v>-0.61</v>
      </c>
      <c r="L19">
        <v>-1.21</v>
      </c>
      <c r="M19">
        <v>2.68</v>
      </c>
      <c r="O19">
        <v>-0.15</v>
      </c>
      <c r="P19">
        <v>-0.5</v>
      </c>
      <c r="Q19">
        <v>-17.03</v>
      </c>
    </row>
    <row r="20" spans="1:19" ht="12.75" customHeight="1" x14ac:dyDescent="0.2">
      <c r="A20">
        <v>73</v>
      </c>
      <c r="B20">
        <f t="shared" si="0"/>
        <v>-5.25</v>
      </c>
      <c r="C20">
        <v>-0.41</v>
      </c>
      <c r="D20">
        <v>-0.62</v>
      </c>
      <c r="E20">
        <v>0.18</v>
      </c>
      <c r="G20">
        <v>0.85</v>
      </c>
      <c r="H20">
        <v>0.81</v>
      </c>
      <c r="I20">
        <v>-18.45</v>
      </c>
      <c r="K20">
        <v>-0.64</v>
      </c>
      <c r="L20">
        <v>-0.87</v>
      </c>
      <c r="M20">
        <v>2.1800000000000002</v>
      </c>
      <c r="O20">
        <v>0.21</v>
      </c>
      <c r="P20">
        <v>0.54</v>
      </c>
      <c r="Q20">
        <v>-17.079999999999998</v>
      </c>
    </row>
    <row r="21" spans="1:19" ht="12.75" customHeight="1" x14ac:dyDescent="0.2">
      <c r="A21">
        <v>74</v>
      </c>
      <c r="B21">
        <f t="shared" si="0"/>
        <v>-6.25</v>
      </c>
      <c r="C21">
        <v>-0.6</v>
      </c>
      <c r="D21">
        <v>-0.95</v>
      </c>
      <c r="E21">
        <v>-0.32</v>
      </c>
      <c r="G21">
        <v>0.88</v>
      </c>
      <c r="H21">
        <v>1.29</v>
      </c>
      <c r="I21">
        <v>-15.92</v>
      </c>
      <c r="K21">
        <v>-0.72</v>
      </c>
      <c r="L21">
        <v>-0.9</v>
      </c>
      <c r="M21">
        <v>1.1299999999999999</v>
      </c>
      <c r="O21">
        <v>0.39</v>
      </c>
      <c r="P21">
        <v>1.05</v>
      </c>
      <c r="Q21">
        <v>-15.32</v>
      </c>
    </row>
    <row r="24" spans="1:19" ht="12.75" customHeight="1" x14ac:dyDescent="0.2">
      <c r="G24" s="2" t="s">
        <v>28</v>
      </c>
      <c r="H24" s="2"/>
      <c r="I24" s="2"/>
      <c r="K24" s="2" t="s">
        <v>28</v>
      </c>
      <c r="L24" s="2"/>
      <c r="M24" s="2"/>
      <c r="O24" s="2" t="s">
        <v>28</v>
      </c>
      <c r="P24" s="2"/>
      <c r="Q24" s="2"/>
      <c r="R24" t="s">
        <v>33</v>
      </c>
      <c r="S24" s="1" t="s">
        <v>29</v>
      </c>
    </row>
    <row r="25" spans="1:19" ht="12.75" customHeight="1" x14ac:dyDescent="0.2">
      <c r="A25">
        <v>62</v>
      </c>
      <c r="B25">
        <f t="shared" ref="B25:B37" si="1">$B$6-A25</f>
        <v>5.75</v>
      </c>
      <c r="G25">
        <f t="shared" ref="G25:I37" si="2">G9-C9</f>
        <v>0.16</v>
      </c>
      <c r="H25">
        <f t="shared" si="2"/>
        <v>3.0000000000000027E-2</v>
      </c>
      <c r="I25">
        <f t="shared" si="2"/>
        <v>-1.36</v>
      </c>
      <c r="K25">
        <f t="shared" ref="K25:M37" si="3">K9-C9</f>
        <v>-0.65999999999999992</v>
      </c>
      <c r="L25">
        <f t="shared" si="3"/>
        <v>0.54</v>
      </c>
      <c r="M25">
        <f t="shared" si="3"/>
        <v>17.95</v>
      </c>
      <c r="O25">
        <f t="shared" ref="O25:Q37" si="4">O9-C9</f>
        <v>-0.44</v>
      </c>
      <c r="P25">
        <f t="shared" si="4"/>
        <v>0.46</v>
      </c>
      <c r="Q25">
        <f t="shared" si="4"/>
        <v>16.68</v>
      </c>
      <c r="R25">
        <f>Q25*10</f>
        <v>166.8</v>
      </c>
    </row>
    <row r="26" spans="1:19" ht="12.75" customHeight="1" x14ac:dyDescent="0.2">
      <c r="A26">
        <v>63</v>
      </c>
      <c r="B26">
        <f t="shared" si="1"/>
        <v>4.75</v>
      </c>
      <c r="G26">
        <f t="shared" si="2"/>
        <v>0.14000000000000001</v>
      </c>
      <c r="H26">
        <f t="shared" si="2"/>
        <v>1.0000000000000009E-2</v>
      </c>
      <c r="I26">
        <f t="shared" si="2"/>
        <v>-1.8599999999999999</v>
      </c>
      <c r="K26">
        <f t="shared" si="3"/>
        <v>-1.01</v>
      </c>
      <c r="L26">
        <f t="shared" si="3"/>
        <v>-0.33999999999999997</v>
      </c>
      <c r="M26">
        <f t="shared" si="3"/>
        <v>19.2</v>
      </c>
      <c r="O26">
        <f t="shared" si="4"/>
        <v>-0.53999999999999992</v>
      </c>
      <c r="P26">
        <f t="shared" si="4"/>
        <v>-0.35</v>
      </c>
      <c r="Q26">
        <f t="shared" si="4"/>
        <v>17.61</v>
      </c>
      <c r="R26">
        <f t="shared" ref="R26:R37" si="5">Q26*10</f>
        <v>176.1</v>
      </c>
      <c r="S26">
        <f>(Q25-Q27)/2</f>
        <v>0.29499999999999815</v>
      </c>
    </row>
    <row r="27" spans="1:19" ht="12.75" customHeight="1" x14ac:dyDescent="0.2">
      <c r="A27">
        <v>64</v>
      </c>
      <c r="B27">
        <f t="shared" si="1"/>
        <v>3.75</v>
      </c>
      <c r="G27">
        <f t="shared" si="2"/>
        <v>4.9999999999999989E-2</v>
      </c>
      <c r="H27">
        <f t="shared" si="2"/>
        <v>0.34</v>
      </c>
      <c r="I27">
        <f t="shared" si="2"/>
        <v>-2.23</v>
      </c>
      <c r="K27">
        <f t="shared" si="3"/>
        <v>-1.35</v>
      </c>
      <c r="L27">
        <f t="shared" si="3"/>
        <v>-1.38</v>
      </c>
      <c r="M27">
        <f t="shared" si="3"/>
        <v>18.170000000000002</v>
      </c>
      <c r="O27">
        <f t="shared" si="4"/>
        <v>-0.76</v>
      </c>
      <c r="P27">
        <f t="shared" si="4"/>
        <v>-1.45</v>
      </c>
      <c r="Q27">
        <f t="shared" si="4"/>
        <v>16.090000000000003</v>
      </c>
      <c r="R27">
        <f t="shared" si="5"/>
        <v>160.90000000000003</v>
      </c>
      <c r="S27">
        <f t="shared" ref="S27:S36" si="6">(Q26-Q28)/2</f>
        <v>2.7849999999999993</v>
      </c>
    </row>
    <row r="28" spans="1:19" ht="12.75" customHeight="1" x14ac:dyDescent="0.2">
      <c r="A28">
        <v>65</v>
      </c>
      <c r="B28">
        <f t="shared" si="1"/>
        <v>2.75</v>
      </c>
      <c r="G28">
        <f t="shared" si="2"/>
        <v>0.03</v>
      </c>
      <c r="H28">
        <f t="shared" si="2"/>
        <v>-0.14999999999999991</v>
      </c>
      <c r="I28">
        <f t="shared" si="2"/>
        <v>-3.11</v>
      </c>
      <c r="K28">
        <f t="shared" si="3"/>
        <v>-1.1599999999999999</v>
      </c>
      <c r="L28">
        <f t="shared" si="3"/>
        <v>-1.8900000000000001</v>
      </c>
      <c r="M28">
        <f t="shared" si="3"/>
        <v>15.01</v>
      </c>
      <c r="O28">
        <f t="shared" si="4"/>
        <v>-0.65</v>
      </c>
      <c r="P28">
        <f t="shared" si="4"/>
        <v>-2.0099999999999998</v>
      </c>
      <c r="Q28">
        <f t="shared" si="4"/>
        <v>12.040000000000001</v>
      </c>
      <c r="R28">
        <f t="shared" si="5"/>
        <v>120.4</v>
      </c>
      <c r="S28">
        <f t="shared" si="6"/>
        <v>4.0500000000000025</v>
      </c>
    </row>
    <row r="29" spans="1:19" ht="12.75" customHeight="1" x14ac:dyDescent="0.2">
      <c r="A29">
        <v>66</v>
      </c>
      <c r="B29">
        <f t="shared" si="1"/>
        <v>1.75</v>
      </c>
      <c r="G29">
        <f t="shared" si="2"/>
        <v>-5.0000000000000017E-2</v>
      </c>
      <c r="H29">
        <f t="shared" si="2"/>
        <v>-0.36999999999999994</v>
      </c>
      <c r="I29">
        <f t="shared" si="2"/>
        <v>-4.13</v>
      </c>
      <c r="K29">
        <f t="shared" si="3"/>
        <v>-1.01</v>
      </c>
      <c r="L29">
        <f t="shared" si="3"/>
        <v>-1.8599999999999999</v>
      </c>
      <c r="M29">
        <f t="shared" si="3"/>
        <v>11.87</v>
      </c>
      <c r="O29">
        <f t="shared" si="4"/>
        <v>-0.69</v>
      </c>
      <c r="P29">
        <f t="shared" si="4"/>
        <v>-2.0299999999999998</v>
      </c>
      <c r="Q29">
        <f t="shared" si="4"/>
        <v>7.9899999999999993</v>
      </c>
      <c r="R29">
        <f t="shared" si="5"/>
        <v>79.899999999999991</v>
      </c>
      <c r="S29">
        <f t="shared" si="6"/>
        <v>4.3650000000000002</v>
      </c>
    </row>
    <row r="30" spans="1:19" ht="12.75" customHeight="1" x14ac:dyDescent="0.2">
      <c r="A30">
        <v>67</v>
      </c>
      <c r="B30">
        <f t="shared" si="1"/>
        <v>0.75</v>
      </c>
      <c r="G30">
        <f t="shared" si="2"/>
        <v>-1.0000000000000009E-2</v>
      </c>
      <c r="H30">
        <f t="shared" si="2"/>
        <v>-0.53</v>
      </c>
      <c r="I30">
        <f t="shared" si="2"/>
        <v>-5.56</v>
      </c>
      <c r="K30">
        <f t="shared" si="3"/>
        <v>-0.82000000000000006</v>
      </c>
      <c r="L30">
        <f t="shared" si="3"/>
        <v>-1.52</v>
      </c>
      <c r="M30">
        <f t="shared" si="3"/>
        <v>8.76</v>
      </c>
      <c r="O30">
        <f t="shared" si="4"/>
        <v>-0.53</v>
      </c>
      <c r="P30">
        <f t="shared" si="4"/>
        <v>-1.7500000000000002</v>
      </c>
      <c r="Q30">
        <f t="shared" si="4"/>
        <v>3.31</v>
      </c>
      <c r="R30">
        <f t="shared" si="5"/>
        <v>33.1</v>
      </c>
      <c r="S30">
        <f t="shared" si="6"/>
        <v>4.7699999999999996</v>
      </c>
    </row>
    <row r="31" spans="1:19" ht="12.75" customHeight="1" x14ac:dyDescent="0.2">
      <c r="A31">
        <v>68</v>
      </c>
      <c r="B31">
        <f t="shared" si="1"/>
        <v>-0.25</v>
      </c>
      <c r="G31">
        <f t="shared" si="2"/>
        <v>0.06</v>
      </c>
      <c r="H31">
        <f t="shared" si="2"/>
        <v>-0.81</v>
      </c>
      <c r="I31">
        <f t="shared" si="2"/>
        <v>-7.93</v>
      </c>
      <c r="K31">
        <f t="shared" si="3"/>
        <v>-0.54</v>
      </c>
      <c r="L31">
        <f t="shared" si="3"/>
        <v>-1.1599999999999999</v>
      </c>
      <c r="M31">
        <f t="shared" si="3"/>
        <v>6.12</v>
      </c>
      <c r="O31">
        <f t="shared" si="4"/>
        <v>-0.39</v>
      </c>
      <c r="P31">
        <f t="shared" si="4"/>
        <v>-1.5799999999999998</v>
      </c>
      <c r="Q31">
        <f t="shared" si="4"/>
        <v>-1.55</v>
      </c>
      <c r="R31">
        <f t="shared" si="5"/>
        <v>-15.5</v>
      </c>
      <c r="S31">
        <f t="shared" si="6"/>
        <v>4.95</v>
      </c>
    </row>
    <row r="32" spans="1:19" ht="12.75" customHeight="1" x14ac:dyDescent="0.2">
      <c r="A32">
        <v>69</v>
      </c>
      <c r="B32">
        <f t="shared" si="1"/>
        <v>-1.25</v>
      </c>
      <c r="G32">
        <f t="shared" si="2"/>
        <v>1.999999999999999E-2</v>
      </c>
      <c r="H32">
        <f t="shared" si="2"/>
        <v>-1.1399999999999999</v>
      </c>
      <c r="I32">
        <f t="shared" si="2"/>
        <v>-11.02</v>
      </c>
      <c r="K32">
        <f t="shared" si="3"/>
        <v>-0.41</v>
      </c>
      <c r="L32">
        <f t="shared" si="3"/>
        <v>-1.05</v>
      </c>
      <c r="M32">
        <f t="shared" si="3"/>
        <v>4.2100000000000009</v>
      </c>
      <c r="O32">
        <f t="shared" si="4"/>
        <v>-0.34</v>
      </c>
      <c r="P32">
        <f t="shared" si="4"/>
        <v>-1.56</v>
      </c>
      <c r="Q32">
        <f t="shared" si="4"/>
        <v>-6.59</v>
      </c>
      <c r="R32">
        <f t="shared" si="5"/>
        <v>-65.900000000000006</v>
      </c>
      <c r="S32">
        <f t="shared" si="6"/>
        <v>4.7050000000000001</v>
      </c>
    </row>
    <row r="33" spans="1:19" ht="12.75" customHeight="1" x14ac:dyDescent="0.2">
      <c r="A33">
        <v>70</v>
      </c>
      <c r="B33">
        <f t="shared" si="1"/>
        <v>-2.25</v>
      </c>
      <c r="G33">
        <f t="shared" si="2"/>
        <v>0.10999999999999999</v>
      </c>
      <c r="H33">
        <f t="shared" si="2"/>
        <v>-1.18</v>
      </c>
      <c r="I33">
        <f t="shared" si="2"/>
        <v>-14.36</v>
      </c>
      <c r="K33">
        <f t="shared" si="3"/>
        <v>-0.30000000000000004</v>
      </c>
      <c r="L33">
        <f t="shared" si="3"/>
        <v>-0.99</v>
      </c>
      <c r="M33">
        <f t="shared" si="3"/>
        <v>3.2399999999999998</v>
      </c>
      <c r="O33">
        <f t="shared" si="4"/>
        <v>-0.25</v>
      </c>
      <c r="P33">
        <f t="shared" si="4"/>
        <v>-1.44</v>
      </c>
      <c r="Q33">
        <f t="shared" si="4"/>
        <v>-10.96</v>
      </c>
      <c r="R33">
        <f t="shared" si="5"/>
        <v>-109.60000000000001</v>
      </c>
      <c r="S33">
        <f t="shared" si="6"/>
        <v>4.16</v>
      </c>
    </row>
    <row r="34" spans="1:19" ht="12.75" customHeight="1" x14ac:dyDescent="0.2">
      <c r="A34">
        <v>71</v>
      </c>
      <c r="B34">
        <f t="shared" si="1"/>
        <v>-3.25</v>
      </c>
      <c r="G34">
        <f t="shared" si="2"/>
        <v>0.47000000000000003</v>
      </c>
      <c r="H34">
        <f t="shared" si="2"/>
        <v>-0.78999999999999992</v>
      </c>
      <c r="I34">
        <f t="shared" si="2"/>
        <v>-17.259999999999998</v>
      </c>
      <c r="K34">
        <f t="shared" si="3"/>
        <v>-0.14000000000000001</v>
      </c>
      <c r="L34">
        <f t="shared" si="3"/>
        <v>-0.85</v>
      </c>
      <c r="M34">
        <f t="shared" si="3"/>
        <v>2.69</v>
      </c>
      <c r="O34">
        <f t="shared" si="4"/>
        <v>-3.999999999999998E-2</v>
      </c>
      <c r="P34">
        <f t="shared" si="4"/>
        <v>-0.91</v>
      </c>
      <c r="Q34">
        <f t="shared" si="4"/>
        <v>-14.91</v>
      </c>
      <c r="R34">
        <f t="shared" si="5"/>
        <v>-149.1</v>
      </c>
      <c r="S34">
        <f t="shared" si="6"/>
        <v>3.1950000000000003</v>
      </c>
    </row>
    <row r="35" spans="1:19" ht="12.75" customHeight="1" x14ac:dyDescent="0.2">
      <c r="A35">
        <v>72</v>
      </c>
      <c r="B35">
        <f t="shared" si="1"/>
        <v>-4.25</v>
      </c>
      <c r="G35">
        <f t="shared" si="2"/>
        <v>0.89</v>
      </c>
      <c r="H35">
        <f t="shared" si="2"/>
        <v>0.24999999999999994</v>
      </c>
      <c r="I35">
        <f t="shared" si="2"/>
        <v>-19.09</v>
      </c>
      <c r="K35">
        <f t="shared" si="3"/>
        <v>-0.20999999999999996</v>
      </c>
      <c r="L35">
        <f t="shared" si="3"/>
        <v>-0.63</v>
      </c>
      <c r="M35">
        <f t="shared" si="3"/>
        <v>2.3600000000000003</v>
      </c>
      <c r="O35">
        <f t="shared" si="4"/>
        <v>0.25</v>
      </c>
      <c r="P35">
        <f t="shared" si="4"/>
        <v>7.999999999999996E-2</v>
      </c>
      <c r="Q35">
        <f t="shared" si="4"/>
        <v>-17.350000000000001</v>
      </c>
      <c r="R35">
        <f t="shared" si="5"/>
        <v>-173.5</v>
      </c>
      <c r="S35">
        <f t="shared" si="6"/>
        <v>1.1749999999999989</v>
      </c>
    </row>
    <row r="36" spans="1:19" ht="12.75" customHeight="1" x14ac:dyDescent="0.2">
      <c r="A36">
        <v>73</v>
      </c>
      <c r="B36">
        <f t="shared" si="1"/>
        <v>-5.25</v>
      </c>
      <c r="G36">
        <f t="shared" si="2"/>
        <v>1.26</v>
      </c>
      <c r="H36">
        <f t="shared" si="2"/>
        <v>1.4300000000000002</v>
      </c>
      <c r="I36">
        <f t="shared" si="2"/>
        <v>-18.63</v>
      </c>
      <c r="K36">
        <f t="shared" si="3"/>
        <v>-0.23000000000000004</v>
      </c>
      <c r="L36">
        <f t="shared" si="3"/>
        <v>-0.25</v>
      </c>
      <c r="M36">
        <f t="shared" si="3"/>
        <v>2</v>
      </c>
      <c r="O36">
        <f t="shared" si="4"/>
        <v>0.62</v>
      </c>
      <c r="P36">
        <f t="shared" si="4"/>
        <v>1.1600000000000001</v>
      </c>
      <c r="Q36">
        <f t="shared" si="4"/>
        <v>-17.259999999999998</v>
      </c>
      <c r="R36">
        <f t="shared" si="5"/>
        <v>-172.59999999999997</v>
      </c>
      <c r="S36">
        <f t="shared" si="6"/>
        <v>-1.1750000000000007</v>
      </c>
    </row>
    <row r="37" spans="1:19" ht="12.75" customHeight="1" x14ac:dyDescent="0.2">
      <c r="A37">
        <v>74</v>
      </c>
      <c r="B37">
        <f t="shared" si="1"/>
        <v>-6.25</v>
      </c>
      <c r="G37">
        <f t="shared" si="2"/>
        <v>1.48</v>
      </c>
      <c r="H37">
        <f t="shared" si="2"/>
        <v>2.2400000000000002</v>
      </c>
      <c r="I37">
        <f t="shared" si="2"/>
        <v>-15.6</v>
      </c>
      <c r="K37">
        <f t="shared" si="3"/>
        <v>-0.12</v>
      </c>
      <c r="L37">
        <f t="shared" si="3"/>
        <v>4.9999999999999933E-2</v>
      </c>
      <c r="M37">
        <f t="shared" si="3"/>
        <v>1.45</v>
      </c>
      <c r="O37">
        <f t="shared" si="4"/>
        <v>0.99</v>
      </c>
      <c r="P37">
        <f t="shared" si="4"/>
        <v>2</v>
      </c>
      <c r="Q37">
        <f t="shared" si="4"/>
        <v>-15</v>
      </c>
      <c r="R37">
        <f t="shared" si="5"/>
        <v>-150</v>
      </c>
    </row>
  </sheetData>
  <mergeCells count="10">
    <mergeCell ref="C7:E7"/>
    <mergeCell ref="G7:I7"/>
    <mergeCell ref="K7:M7"/>
    <mergeCell ref="O7:Q7"/>
    <mergeCell ref="G24:I24"/>
    <mergeCell ref="K24:M24"/>
    <mergeCell ref="O24:Q24"/>
    <mergeCell ref="G1:I1"/>
    <mergeCell ref="K1:M1"/>
    <mergeCell ref="O1:Q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"/>
  <sheetViews>
    <sheetView tabSelected="1" zoomScaleNormal="100" workbookViewId="0">
      <pane xSplit="2" topLeftCell="K1" activePane="topRight" state="frozen"/>
      <selection pane="topRight" activeCell="T37" sqref="T37"/>
    </sheetView>
  </sheetViews>
  <sheetFormatPr defaultColWidth="17.140625" defaultRowHeight="12.75" customHeight="1" x14ac:dyDescent="0.2"/>
  <cols>
    <col min="1" max="1" width="26" customWidth="1"/>
    <col min="19" max="19" width="22.5703125" bestFit="1" customWidth="1"/>
  </cols>
  <sheetData>
    <row r="1" spans="1:17" ht="12.75" customHeight="1" x14ac:dyDescent="0.2">
      <c r="A1" t="s">
        <v>0</v>
      </c>
      <c r="G1" s="2" t="s">
        <v>1</v>
      </c>
      <c r="H1" s="2"/>
      <c r="I1" s="2"/>
      <c r="K1" s="2" t="s">
        <v>2</v>
      </c>
      <c r="L1" s="2"/>
      <c r="M1" s="2"/>
      <c r="O1" s="2" t="s">
        <v>3</v>
      </c>
      <c r="P1" s="2"/>
      <c r="Q1" s="2"/>
    </row>
    <row r="2" spans="1:17" ht="12.75" customHeight="1" x14ac:dyDescent="0.2">
      <c r="A2" t="s">
        <v>4</v>
      </c>
      <c r="B2" t="s">
        <v>5</v>
      </c>
    </row>
    <row r="3" spans="1:17" ht="12.75" customHeight="1" x14ac:dyDescent="0.2">
      <c r="A3" t="s">
        <v>6</v>
      </c>
      <c r="B3">
        <v>2.19</v>
      </c>
    </row>
    <row r="4" spans="1:17" ht="12.75" customHeight="1" x14ac:dyDescent="0.2">
      <c r="A4" t="s">
        <v>7</v>
      </c>
      <c r="B4">
        <v>65</v>
      </c>
      <c r="G4" t="s">
        <v>8</v>
      </c>
      <c r="H4">
        <v>4</v>
      </c>
      <c r="K4" t="s">
        <v>8</v>
      </c>
      <c r="L4">
        <v>4</v>
      </c>
      <c r="O4" t="s">
        <v>8</v>
      </c>
      <c r="P4">
        <v>4</v>
      </c>
    </row>
    <row r="5" spans="1:17" ht="12.75" customHeight="1" x14ac:dyDescent="0.2">
      <c r="A5" t="s">
        <v>9</v>
      </c>
      <c r="B5">
        <v>70.5</v>
      </c>
      <c r="G5" t="s">
        <v>10</v>
      </c>
      <c r="H5">
        <v>0.5</v>
      </c>
      <c r="K5" t="s">
        <v>10</v>
      </c>
      <c r="L5">
        <v>0.5</v>
      </c>
      <c r="O5" t="s">
        <v>10</v>
      </c>
      <c r="P5">
        <v>0.9</v>
      </c>
    </row>
    <row r="6" spans="1:17" ht="12.75" customHeight="1" x14ac:dyDescent="0.2">
      <c r="A6" t="s">
        <v>11</v>
      </c>
      <c r="B6">
        <f>(B5+B4)/2</f>
        <v>67.75</v>
      </c>
    </row>
    <row r="7" spans="1:17" ht="12.75" customHeight="1" x14ac:dyDescent="0.2">
      <c r="C7" s="2" t="s">
        <v>12</v>
      </c>
      <c r="D7" s="2"/>
      <c r="E7" s="2"/>
      <c r="G7" s="2" t="s">
        <v>13</v>
      </c>
      <c r="H7" s="2"/>
      <c r="I7" s="2"/>
      <c r="K7" s="2" t="s">
        <v>13</v>
      </c>
      <c r="L7" s="2"/>
      <c r="M7" s="2"/>
      <c r="O7" s="2" t="s">
        <v>13</v>
      </c>
      <c r="P7" s="2"/>
      <c r="Q7" s="2"/>
    </row>
    <row r="8" spans="1:17" ht="12.75" customHeight="1" x14ac:dyDescent="0.2">
      <c r="A8" t="s">
        <v>14</v>
      </c>
      <c r="B8" t="s">
        <v>15</v>
      </c>
      <c r="C8" t="s">
        <v>16</v>
      </c>
      <c r="D8" t="s">
        <v>17</v>
      </c>
      <c r="E8" t="s">
        <v>18</v>
      </c>
      <c r="G8" t="s">
        <v>19</v>
      </c>
      <c r="H8" t="s">
        <v>20</v>
      </c>
      <c r="I8" t="s">
        <v>21</v>
      </c>
      <c r="K8" t="s">
        <v>22</v>
      </c>
      <c r="L8" t="s">
        <v>23</v>
      </c>
      <c r="M8" t="s">
        <v>24</v>
      </c>
      <c r="O8" t="s">
        <v>25</v>
      </c>
      <c r="P8" t="s">
        <v>26</v>
      </c>
      <c r="Q8" t="s">
        <v>27</v>
      </c>
    </row>
    <row r="9" spans="1:17" ht="12.75" customHeight="1" x14ac:dyDescent="0.2">
      <c r="A9">
        <v>62</v>
      </c>
      <c r="B9">
        <f t="shared" ref="B9:B21" si="0">$B$6-A9</f>
        <v>5.75</v>
      </c>
      <c r="C9">
        <v>-0.06</v>
      </c>
      <c r="D9">
        <v>-0.28000000000000003</v>
      </c>
      <c r="E9">
        <v>0.01</v>
      </c>
      <c r="G9">
        <v>-0.02</v>
      </c>
      <c r="H9">
        <v>-0.34</v>
      </c>
      <c r="I9">
        <v>-1.1599999999999999</v>
      </c>
      <c r="K9">
        <v>-0.23</v>
      </c>
      <c r="L9">
        <v>0.15</v>
      </c>
      <c r="M9">
        <v>7.19</v>
      </c>
      <c r="O9">
        <v>-0.12</v>
      </c>
      <c r="P9">
        <v>0.1</v>
      </c>
      <c r="Q9">
        <v>6.07</v>
      </c>
    </row>
    <row r="10" spans="1:17" ht="12.75" customHeight="1" x14ac:dyDescent="0.2">
      <c r="A10">
        <v>63</v>
      </c>
      <c r="B10">
        <f t="shared" si="0"/>
        <v>4.75</v>
      </c>
      <c r="C10">
        <v>-0.28000000000000003</v>
      </c>
      <c r="D10">
        <v>-0.63</v>
      </c>
      <c r="E10">
        <v>0.18</v>
      </c>
      <c r="G10">
        <v>-0.17</v>
      </c>
      <c r="H10">
        <v>-0.71</v>
      </c>
      <c r="I10">
        <v>-1.43</v>
      </c>
      <c r="K10">
        <v>-0.43</v>
      </c>
      <c r="L10">
        <v>-0.25</v>
      </c>
      <c r="M10">
        <v>9.2799999999999994</v>
      </c>
      <c r="O10">
        <v>-0.39</v>
      </c>
      <c r="P10">
        <v>-0.37</v>
      </c>
      <c r="Q10">
        <v>8.06</v>
      </c>
    </row>
    <row r="11" spans="1:17" ht="12.75" customHeight="1" x14ac:dyDescent="0.2">
      <c r="A11">
        <v>64</v>
      </c>
      <c r="B11">
        <f t="shared" si="0"/>
        <v>3.75</v>
      </c>
      <c r="C11">
        <v>-0.18</v>
      </c>
      <c r="D11">
        <v>-0.54</v>
      </c>
      <c r="E11">
        <v>0.33</v>
      </c>
      <c r="G11">
        <v>-0.17</v>
      </c>
      <c r="H11">
        <v>-0.72</v>
      </c>
      <c r="I11">
        <v>-1.65</v>
      </c>
      <c r="K11">
        <v>-0.6</v>
      </c>
      <c r="L11">
        <v>-0.55000000000000004</v>
      </c>
      <c r="M11">
        <v>11.32</v>
      </c>
      <c r="O11">
        <v>-0.5</v>
      </c>
      <c r="P11">
        <v>-0.77</v>
      </c>
      <c r="Q11">
        <v>9.44</v>
      </c>
    </row>
    <row r="12" spans="1:17" ht="12.75" customHeight="1" x14ac:dyDescent="0.2">
      <c r="A12">
        <v>65</v>
      </c>
      <c r="B12">
        <f t="shared" si="0"/>
        <v>2.75</v>
      </c>
      <c r="C12">
        <v>-0.1</v>
      </c>
      <c r="D12">
        <v>-0.56000000000000005</v>
      </c>
      <c r="E12">
        <v>0.52</v>
      </c>
      <c r="G12">
        <v>-0.1</v>
      </c>
      <c r="H12">
        <v>-0.83</v>
      </c>
      <c r="I12">
        <v>-2.17</v>
      </c>
      <c r="K12">
        <v>-0.59</v>
      </c>
      <c r="L12">
        <v>-1.17</v>
      </c>
      <c r="M12">
        <v>11.68</v>
      </c>
      <c r="O12">
        <v>-0.54</v>
      </c>
      <c r="P12">
        <v>-1.33</v>
      </c>
      <c r="Q12">
        <v>9</v>
      </c>
    </row>
    <row r="13" spans="1:17" ht="12.75" customHeight="1" x14ac:dyDescent="0.2">
      <c r="A13">
        <v>66</v>
      </c>
      <c r="B13">
        <f t="shared" si="0"/>
        <v>1.75</v>
      </c>
      <c r="C13">
        <v>0.27</v>
      </c>
      <c r="D13">
        <v>-0.33</v>
      </c>
      <c r="E13">
        <v>0.55000000000000004</v>
      </c>
      <c r="G13">
        <v>0.26</v>
      </c>
      <c r="H13">
        <v>-0.71</v>
      </c>
      <c r="I13">
        <v>-3.1</v>
      </c>
      <c r="K13">
        <v>-0.3</v>
      </c>
      <c r="L13">
        <v>-1.36</v>
      </c>
      <c r="M13">
        <v>10.43</v>
      </c>
      <c r="O13">
        <v>-0.15</v>
      </c>
      <c r="P13">
        <v>-1.49</v>
      </c>
      <c r="Q13">
        <v>6.81</v>
      </c>
    </row>
    <row r="14" spans="1:17" ht="12.75" customHeight="1" x14ac:dyDescent="0.2">
      <c r="A14">
        <v>67</v>
      </c>
      <c r="B14">
        <f t="shared" si="0"/>
        <v>0.75</v>
      </c>
      <c r="C14">
        <v>0.14000000000000001</v>
      </c>
      <c r="D14">
        <v>-0.45</v>
      </c>
      <c r="E14">
        <v>0.13</v>
      </c>
      <c r="G14">
        <v>0.15</v>
      </c>
      <c r="H14">
        <v>-0.93</v>
      </c>
      <c r="I14">
        <v>-4.8600000000000003</v>
      </c>
      <c r="K14">
        <v>-0.39</v>
      </c>
      <c r="L14">
        <v>-1.59</v>
      </c>
      <c r="M14">
        <v>8.0399999999999991</v>
      </c>
      <c r="O14">
        <v>-0.19</v>
      </c>
      <c r="P14">
        <v>-1.76</v>
      </c>
      <c r="Q14">
        <v>3.14</v>
      </c>
    </row>
    <row r="15" spans="1:17" ht="12.75" customHeight="1" x14ac:dyDescent="0.2">
      <c r="A15">
        <v>68</v>
      </c>
      <c r="B15">
        <f t="shared" si="0"/>
        <v>-0.25</v>
      </c>
      <c r="C15">
        <v>-0.26</v>
      </c>
      <c r="D15">
        <v>-0.72</v>
      </c>
      <c r="E15">
        <v>0.26</v>
      </c>
      <c r="G15">
        <v>-0.22</v>
      </c>
      <c r="H15">
        <v>-1.36</v>
      </c>
      <c r="I15">
        <v>-6.57</v>
      </c>
      <c r="K15">
        <v>-0.63</v>
      </c>
      <c r="L15">
        <v>-1.74</v>
      </c>
      <c r="M15">
        <v>5.98</v>
      </c>
      <c r="O15">
        <v>-0.51</v>
      </c>
      <c r="P15">
        <v>-2</v>
      </c>
      <c r="Q15">
        <v>-0.83</v>
      </c>
    </row>
    <row r="16" spans="1:17" ht="12.75" customHeight="1" x14ac:dyDescent="0.2">
      <c r="A16">
        <v>69</v>
      </c>
      <c r="B16">
        <f t="shared" si="0"/>
        <v>-1.25</v>
      </c>
      <c r="C16">
        <v>-0.18</v>
      </c>
      <c r="D16">
        <v>-0.56000000000000005</v>
      </c>
      <c r="E16">
        <v>0.73</v>
      </c>
      <c r="G16">
        <v>-0.02</v>
      </c>
      <c r="H16">
        <v>-1.1299999999999999</v>
      </c>
      <c r="I16">
        <v>-8.33</v>
      </c>
      <c r="K16">
        <v>-0.53</v>
      </c>
      <c r="L16">
        <v>-1.44</v>
      </c>
      <c r="M16">
        <v>4.9000000000000004</v>
      </c>
      <c r="O16">
        <v>-0.33</v>
      </c>
      <c r="P16">
        <v>-1.59</v>
      </c>
      <c r="Q16">
        <v>-4.16</v>
      </c>
    </row>
    <row r="17" spans="1:19" ht="12.75" customHeight="1" x14ac:dyDescent="0.2">
      <c r="A17">
        <v>70</v>
      </c>
      <c r="B17">
        <f t="shared" si="0"/>
        <v>-2.25</v>
      </c>
      <c r="C17">
        <v>-0.15</v>
      </c>
      <c r="D17">
        <v>-0.51</v>
      </c>
      <c r="E17">
        <v>0.33</v>
      </c>
      <c r="G17">
        <v>0.24</v>
      </c>
      <c r="H17">
        <v>-0.57999999999999996</v>
      </c>
      <c r="I17">
        <v>-10.11</v>
      </c>
      <c r="K17">
        <v>-0.41</v>
      </c>
      <c r="L17">
        <v>-1.17</v>
      </c>
      <c r="M17">
        <v>3.55</v>
      </c>
      <c r="O17">
        <v>-0.06</v>
      </c>
      <c r="P17">
        <v>-0.95</v>
      </c>
      <c r="Q17">
        <v>-7.1</v>
      </c>
    </row>
    <row r="18" spans="1:19" ht="12.75" customHeight="1" x14ac:dyDescent="0.2">
      <c r="A18">
        <v>71</v>
      </c>
      <c r="B18">
        <f t="shared" si="0"/>
        <v>-3.25</v>
      </c>
      <c r="C18">
        <v>-0.4</v>
      </c>
      <c r="D18">
        <v>-0.6</v>
      </c>
      <c r="E18">
        <v>0.36</v>
      </c>
      <c r="G18">
        <v>0.31</v>
      </c>
      <c r="H18">
        <v>0.05</v>
      </c>
      <c r="I18">
        <v>-10.3</v>
      </c>
      <c r="K18">
        <v>-0.55000000000000004</v>
      </c>
      <c r="L18">
        <v>-1</v>
      </c>
      <c r="M18">
        <v>2.91</v>
      </c>
      <c r="O18">
        <v>0.03</v>
      </c>
      <c r="P18">
        <v>-0.3</v>
      </c>
      <c r="Q18">
        <v>-8.11</v>
      </c>
    </row>
    <row r="19" spans="1:19" ht="12.75" customHeight="1" x14ac:dyDescent="0.2">
      <c r="A19">
        <v>72</v>
      </c>
      <c r="B19">
        <f t="shared" si="0"/>
        <v>-4.25</v>
      </c>
      <c r="C19">
        <v>-0.4</v>
      </c>
      <c r="D19">
        <v>-0.57999999999999996</v>
      </c>
      <c r="E19">
        <v>0.32</v>
      </c>
      <c r="G19">
        <v>0.28999999999999998</v>
      </c>
      <c r="H19">
        <v>0.59</v>
      </c>
      <c r="I19">
        <v>-9.1999999999999993</v>
      </c>
      <c r="K19">
        <v>-0.5</v>
      </c>
      <c r="L19">
        <v>2.23</v>
      </c>
      <c r="M19">
        <v>2.2000000000000002</v>
      </c>
      <c r="O19">
        <v>0.25</v>
      </c>
      <c r="P19">
        <v>0.3</v>
      </c>
      <c r="Q19">
        <v>-7.51</v>
      </c>
    </row>
    <row r="20" spans="1:19" ht="12.75" customHeight="1" x14ac:dyDescent="0.2">
      <c r="A20">
        <v>73</v>
      </c>
      <c r="B20">
        <f t="shared" si="0"/>
        <v>-5.25</v>
      </c>
      <c r="C20">
        <v>-0.41</v>
      </c>
      <c r="D20">
        <v>-0.62</v>
      </c>
      <c r="E20">
        <v>0.18</v>
      </c>
      <c r="G20">
        <v>0.49</v>
      </c>
      <c r="H20">
        <v>0.66</v>
      </c>
      <c r="I20">
        <v>-7.61</v>
      </c>
      <c r="K20">
        <v>-0.48</v>
      </c>
      <c r="L20">
        <v>-0.68</v>
      </c>
      <c r="M20">
        <v>1.56</v>
      </c>
      <c r="O20">
        <v>0.25</v>
      </c>
      <c r="P20">
        <v>0.36</v>
      </c>
      <c r="Q20">
        <v>-6.2</v>
      </c>
    </row>
    <row r="21" spans="1:19" ht="12.75" customHeight="1" x14ac:dyDescent="0.2">
      <c r="A21">
        <v>74</v>
      </c>
      <c r="B21">
        <f t="shared" si="0"/>
        <v>-6.25</v>
      </c>
      <c r="C21">
        <v>-0.6</v>
      </c>
      <c r="D21">
        <v>-0.95</v>
      </c>
      <c r="E21">
        <v>-0.32</v>
      </c>
      <c r="G21">
        <v>0.2</v>
      </c>
      <c r="H21">
        <v>0.1</v>
      </c>
      <c r="I21">
        <v>-0.59299999999999997</v>
      </c>
      <c r="K21">
        <v>-0.65</v>
      </c>
      <c r="L21">
        <v>-0.92</v>
      </c>
      <c r="M21">
        <v>0.69</v>
      </c>
      <c r="O21">
        <v>0.01</v>
      </c>
      <c r="P21">
        <v>-0.1</v>
      </c>
      <c r="Q21">
        <v>-4.9000000000000004</v>
      </c>
    </row>
    <row r="24" spans="1:19" ht="12.75" customHeight="1" x14ac:dyDescent="0.2">
      <c r="G24" s="2" t="s">
        <v>28</v>
      </c>
      <c r="H24" s="2"/>
      <c r="I24" s="2"/>
      <c r="K24" s="2" t="s">
        <v>28</v>
      </c>
      <c r="L24" s="2"/>
      <c r="M24" s="2"/>
      <c r="O24" s="2" t="s">
        <v>28</v>
      </c>
      <c r="P24" s="2"/>
      <c r="Q24" s="2"/>
      <c r="S24" s="1" t="s">
        <v>29</v>
      </c>
    </row>
    <row r="25" spans="1:19" ht="12.75" customHeight="1" x14ac:dyDescent="0.2">
      <c r="A25">
        <v>62</v>
      </c>
      <c r="B25">
        <f t="shared" ref="B25:B37" si="1">$B$6-A25</f>
        <v>5.75</v>
      </c>
      <c r="G25">
        <f t="shared" ref="G25:G37" si="2">G9-C9</f>
        <v>3.9999999999999994E-2</v>
      </c>
      <c r="H25">
        <f t="shared" ref="H25:H37" si="3">H9-D9</f>
        <v>-0.06</v>
      </c>
      <c r="I25">
        <f t="shared" ref="I25:I37" si="4">I9-E9</f>
        <v>-1.17</v>
      </c>
      <c r="K25">
        <f t="shared" ref="K25:K37" si="5">K9-C9</f>
        <v>-0.17</v>
      </c>
      <c r="L25">
        <f t="shared" ref="L25:L37" si="6">L9-D9</f>
        <v>0.43000000000000005</v>
      </c>
      <c r="M25">
        <f t="shared" ref="M25:M37" si="7">M9-E9</f>
        <v>7.1800000000000006</v>
      </c>
      <c r="O25">
        <f t="shared" ref="O25:O37" si="8">O9-C9</f>
        <v>-0.06</v>
      </c>
      <c r="P25">
        <f t="shared" ref="P25:P37" si="9">P9-D9</f>
        <v>0.38</v>
      </c>
      <c r="Q25">
        <f t="shared" ref="Q25:Q37" si="10">Q9-E9</f>
        <v>6.0600000000000005</v>
      </c>
    </row>
    <row r="26" spans="1:19" ht="12.75" customHeight="1" x14ac:dyDescent="0.2">
      <c r="A26">
        <v>63</v>
      </c>
      <c r="B26">
        <f t="shared" si="1"/>
        <v>4.75</v>
      </c>
      <c r="G26">
        <f t="shared" si="2"/>
        <v>0.11000000000000001</v>
      </c>
      <c r="H26">
        <f t="shared" si="3"/>
        <v>-7.999999999999996E-2</v>
      </c>
      <c r="I26">
        <f t="shared" si="4"/>
        <v>-1.6099999999999999</v>
      </c>
      <c r="K26">
        <f t="shared" si="5"/>
        <v>-0.14999999999999997</v>
      </c>
      <c r="L26">
        <f t="shared" si="6"/>
        <v>0.38</v>
      </c>
      <c r="M26">
        <f t="shared" si="7"/>
        <v>9.1</v>
      </c>
      <c r="O26">
        <f t="shared" si="8"/>
        <v>-0.10999999999999999</v>
      </c>
      <c r="P26">
        <f t="shared" si="9"/>
        <v>0.26</v>
      </c>
      <c r="Q26">
        <f t="shared" si="10"/>
        <v>7.8800000000000008</v>
      </c>
      <c r="S26">
        <f>(Q25-Q27)/2</f>
        <v>-1.5249999999999995</v>
      </c>
    </row>
    <row r="27" spans="1:19" ht="12.75" customHeight="1" x14ac:dyDescent="0.2">
      <c r="A27">
        <v>64</v>
      </c>
      <c r="B27">
        <f t="shared" si="1"/>
        <v>3.75</v>
      </c>
      <c r="G27">
        <f t="shared" si="2"/>
        <v>9.9999999999999811E-3</v>
      </c>
      <c r="H27">
        <f t="shared" si="3"/>
        <v>-0.17999999999999994</v>
      </c>
      <c r="I27">
        <f t="shared" si="4"/>
        <v>-1.98</v>
      </c>
      <c r="K27">
        <f t="shared" si="5"/>
        <v>-0.42</v>
      </c>
      <c r="L27">
        <f t="shared" si="6"/>
        <v>-1.0000000000000009E-2</v>
      </c>
      <c r="M27">
        <f t="shared" si="7"/>
        <v>10.99</v>
      </c>
      <c r="O27">
        <f t="shared" si="8"/>
        <v>-0.32</v>
      </c>
      <c r="P27">
        <f t="shared" si="9"/>
        <v>-0.22999999999999998</v>
      </c>
      <c r="Q27">
        <f t="shared" si="10"/>
        <v>9.11</v>
      </c>
      <c r="S27">
        <f t="shared" ref="S27:S36" si="11">(Q26-Q28)/2</f>
        <v>-0.29999999999999982</v>
      </c>
    </row>
    <row r="28" spans="1:19" ht="12.75" customHeight="1" x14ac:dyDescent="0.2">
      <c r="A28">
        <v>65</v>
      </c>
      <c r="B28">
        <f t="shared" si="1"/>
        <v>2.75</v>
      </c>
      <c r="G28">
        <f t="shared" si="2"/>
        <v>0</v>
      </c>
      <c r="H28">
        <f t="shared" si="3"/>
        <v>-0.26999999999999991</v>
      </c>
      <c r="I28">
        <f t="shared" si="4"/>
        <v>-2.69</v>
      </c>
      <c r="K28">
        <f t="shared" si="5"/>
        <v>-0.49</v>
      </c>
      <c r="L28">
        <f t="shared" si="6"/>
        <v>-0.60999999999999988</v>
      </c>
      <c r="M28">
        <f t="shared" si="7"/>
        <v>11.16</v>
      </c>
      <c r="O28">
        <f t="shared" si="8"/>
        <v>-0.44000000000000006</v>
      </c>
      <c r="P28">
        <f t="shared" si="9"/>
        <v>-0.77</v>
      </c>
      <c r="Q28">
        <f t="shared" si="10"/>
        <v>8.48</v>
      </c>
      <c r="S28">
        <f t="shared" si="11"/>
        <v>1.4249999999999998</v>
      </c>
    </row>
    <row r="29" spans="1:19" ht="12.75" customHeight="1" x14ac:dyDescent="0.2">
      <c r="A29">
        <v>66</v>
      </c>
      <c r="B29">
        <f t="shared" si="1"/>
        <v>1.75</v>
      </c>
      <c r="G29">
        <f t="shared" si="2"/>
        <v>-1.0000000000000009E-2</v>
      </c>
      <c r="H29">
        <f t="shared" si="3"/>
        <v>-0.37999999999999995</v>
      </c>
      <c r="I29">
        <f t="shared" si="4"/>
        <v>-3.6500000000000004</v>
      </c>
      <c r="K29">
        <f t="shared" si="5"/>
        <v>-0.57000000000000006</v>
      </c>
      <c r="L29">
        <f t="shared" si="6"/>
        <v>-1.03</v>
      </c>
      <c r="M29">
        <f t="shared" si="7"/>
        <v>9.879999999999999</v>
      </c>
      <c r="O29">
        <f t="shared" si="8"/>
        <v>-0.42000000000000004</v>
      </c>
      <c r="P29">
        <f t="shared" si="9"/>
        <v>-1.1599999999999999</v>
      </c>
      <c r="Q29">
        <f t="shared" si="10"/>
        <v>6.26</v>
      </c>
      <c r="S29">
        <f t="shared" si="11"/>
        <v>2.7350000000000003</v>
      </c>
    </row>
    <row r="30" spans="1:19" ht="12.75" customHeight="1" x14ac:dyDescent="0.2">
      <c r="A30">
        <v>67</v>
      </c>
      <c r="B30">
        <f t="shared" si="1"/>
        <v>0.75</v>
      </c>
      <c r="G30">
        <f t="shared" si="2"/>
        <v>9.9999999999999811E-3</v>
      </c>
      <c r="H30">
        <f t="shared" si="3"/>
        <v>-0.48000000000000004</v>
      </c>
      <c r="I30">
        <f t="shared" si="4"/>
        <v>-4.99</v>
      </c>
      <c r="K30">
        <f t="shared" si="5"/>
        <v>-0.53</v>
      </c>
      <c r="L30">
        <f t="shared" si="6"/>
        <v>-1.1400000000000001</v>
      </c>
      <c r="M30">
        <f t="shared" si="7"/>
        <v>7.9099999999999993</v>
      </c>
      <c r="O30">
        <f t="shared" si="8"/>
        <v>-0.33</v>
      </c>
      <c r="P30">
        <f t="shared" si="9"/>
        <v>-1.31</v>
      </c>
      <c r="Q30">
        <f t="shared" si="10"/>
        <v>3.0100000000000002</v>
      </c>
      <c r="S30">
        <f t="shared" si="11"/>
        <v>3.6749999999999998</v>
      </c>
    </row>
    <row r="31" spans="1:19" ht="12.75" customHeight="1" x14ac:dyDescent="0.2">
      <c r="A31">
        <v>68</v>
      </c>
      <c r="B31">
        <f t="shared" si="1"/>
        <v>-0.25</v>
      </c>
      <c r="G31">
        <f t="shared" si="2"/>
        <v>4.0000000000000008E-2</v>
      </c>
      <c r="H31">
        <f t="shared" si="3"/>
        <v>-0.64000000000000012</v>
      </c>
      <c r="I31">
        <f t="shared" si="4"/>
        <v>-6.83</v>
      </c>
      <c r="K31">
        <f t="shared" si="5"/>
        <v>-0.37</v>
      </c>
      <c r="L31">
        <f t="shared" si="6"/>
        <v>-1.02</v>
      </c>
      <c r="M31">
        <f t="shared" si="7"/>
        <v>5.7200000000000006</v>
      </c>
      <c r="O31">
        <f t="shared" si="8"/>
        <v>-0.25</v>
      </c>
      <c r="P31">
        <f t="shared" si="9"/>
        <v>-1.28</v>
      </c>
      <c r="Q31">
        <f t="shared" si="10"/>
        <v>-1.0899999999999999</v>
      </c>
      <c r="S31">
        <f t="shared" si="11"/>
        <v>3.95</v>
      </c>
    </row>
    <row r="32" spans="1:19" ht="12.75" customHeight="1" x14ac:dyDescent="0.2">
      <c r="A32">
        <v>69</v>
      </c>
      <c r="B32">
        <f t="shared" si="1"/>
        <v>-1.25</v>
      </c>
      <c r="G32">
        <f t="shared" si="2"/>
        <v>0.16</v>
      </c>
      <c r="H32">
        <f t="shared" si="3"/>
        <v>-0.56999999999999984</v>
      </c>
      <c r="I32">
        <f t="shared" si="4"/>
        <v>-9.06</v>
      </c>
      <c r="K32">
        <f t="shared" si="5"/>
        <v>-0.35000000000000003</v>
      </c>
      <c r="L32">
        <f t="shared" si="6"/>
        <v>-0.87999999999999989</v>
      </c>
      <c r="M32">
        <f t="shared" si="7"/>
        <v>4.17</v>
      </c>
      <c r="O32">
        <f t="shared" si="8"/>
        <v>-0.15000000000000002</v>
      </c>
      <c r="P32">
        <f t="shared" si="9"/>
        <v>-1.03</v>
      </c>
      <c r="Q32">
        <f t="shared" si="10"/>
        <v>-4.8900000000000006</v>
      </c>
      <c r="S32">
        <f t="shared" si="11"/>
        <v>3.17</v>
      </c>
    </row>
    <row r="33" spans="1:19" ht="12.75" customHeight="1" x14ac:dyDescent="0.2">
      <c r="A33">
        <v>70</v>
      </c>
      <c r="B33">
        <f t="shared" si="1"/>
        <v>-2.25</v>
      </c>
      <c r="G33">
        <f t="shared" si="2"/>
        <v>0.39</v>
      </c>
      <c r="H33">
        <f t="shared" si="3"/>
        <v>-6.9999999999999951E-2</v>
      </c>
      <c r="I33">
        <f t="shared" si="4"/>
        <v>-10.44</v>
      </c>
      <c r="K33">
        <f t="shared" si="5"/>
        <v>-0.26</v>
      </c>
      <c r="L33">
        <f t="shared" si="6"/>
        <v>-0.65999999999999992</v>
      </c>
      <c r="M33">
        <f t="shared" si="7"/>
        <v>3.2199999999999998</v>
      </c>
      <c r="O33">
        <f t="shared" si="8"/>
        <v>0.09</v>
      </c>
      <c r="P33">
        <f t="shared" si="9"/>
        <v>-0.43999999999999995</v>
      </c>
      <c r="Q33">
        <f t="shared" si="10"/>
        <v>-7.43</v>
      </c>
      <c r="S33">
        <f t="shared" si="11"/>
        <v>1.7899999999999991</v>
      </c>
    </row>
    <row r="34" spans="1:19" ht="12.75" customHeight="1" x14ac:dyDescent="0.2">
      <c r="A34">
        <v>71</v>
      </c>
      <c r="B34">
        <f t="shared" si="1"/>
        <v>-3.25</v>
      </c>
      <c r="G34">
        <f t="shared" si="2"/>
        <v>0.71</v>
      </c>
      <c r="H34">
        <f t="shared" si="3"/>
        <v>0.65</v>
      </c>
      <c r="I34">
        <f t="shared" si="4"/>
        <v>-10.66</v>
      </c>
      <c r="K34">
        <f t="shared" si="5"/>
        <v>-0.15000000000000002</v>
      </c>
      <c r="L34">
        <f t="shared" si="6"/>
        <v>-0.4</v>
      </c>
      <c r="M34">
        <f t="shared" si="7"/>
        <v>2.5500000000000003</v>
      </c>
      <c r="O34">
        <f t="shared" si="8"/>
        <v>0.43000000000000005</v>
      </c>
      <c r="P34">
        <f t="shared" si="9"/>
        <v>0.3</v>
      </c>
      <c r="Q34">
        <f t="shared" si="10"/>
        <v>-8.4699999999999989</v>
      </c>
      <c r="S34">
        <f t="shared" si="11"/>
        <v>0.20000000000000018</v>
      </c>
    </row>
    <row r="35" spans="1:19" ht="12.75" customHeight="1" x14ac:dyDescent="0.2">
      <c r="A35">
        <v>72</v>
      </c>
      <c r="B35">
        <f t="shared" si="1"/>
        <v>-4.25</v>
      </c>
      <c r="G35">
        <f t="shared" si="2"/>
        <v>0.69</v>
      </c>
      <c r="H35">
        <f t="shared" si="3"/>
        <v>1.17</v>
      </c>
      <c r="I35">
        <f t="shared" si="4"/>
        <v>-9.52</v>
      </c>
      <c r="K35">
        <f t="shared" si="5"/>
        <v>-9.9999999999999978E-2</v>
      </c>
      <c r="L35">
        <f t="shared" si="6"/>
        <v>2.81</v>
      </c>
      <c r="M35">
        <f t="shared" si="7"/>
        <v>1.8800000000000001</v>
      </c>
      <c r="O35">
        <f t="shared" si="8"/>
        <v>0.65</v>
      </c>
      <c r="P35">
        <f t="shared" si="9"/>
        <v>0.87999999999999989</v>
      </c>
      <c r="Q35">
        <f t="shared" si="10"/>
        <v>-7.83</v>
      </c>
      <c r="S35">
        <f t="shared" si="11"/>
        <v>-1.0449999999999995</v>
      </c>
    </row>
    <row r="36" spans="1:19" ht="12.75" customHeight="1" x14ac:dyDescent="0.2">
      <c r="A36">
        <v>73</v>
      </c>
      <c r="B36">
        <f t="shared" si="1"/>
        <v>-5.25</v>
      </c>
      <c r="G36">
        <f t="shared" si="2"/>
        <v>0.89999999999999991</v>
      </c>
      <c r="H36">
        <f t="shared" si="3"/>
        <v>1.28</v>
      </c>
      <c r="I36">
        <f t="shared" si="4"/>
        <v>-7.79</v>
      </c>
      <c r="K36">
        <f t="shared" si="5"/>
        <v>-7.0000000000000007E-2</v>
      </c>
      <c r="L36">
        <f t="shared" si="6"/>
        <v>-6.0000000000000053E-2</v>
      </c>
      <c r="M36">
        <f t="shared" si="7"/>
        <v>1.3800000000000001</v>
      </c>
      <c r="O36">
        <f t="shared" si="8"/>
        <v>0.65999999999999992</v>
      </c>
      <c r="P36">
        <f t="shared" si="9"/>
        <v>0.98</v>
      </c>
      <c r="Q36">
        <f t="shared" si="10"/>
        <v>-6.38</v>
      </c>
      <c r="S36">
        <f t="shared" si="11"/>
        <v>-1.625</v>
      </c>
    </row>
    <row r="37" spans="1:19" ht="12.75" customHeight="1" x14ac:dyDescent="0.2">
      <c r="A37">
        <v>74</v>
      </c>
      <c r="B37">
        <f t="shared" si="1"/>
        <v>-6.25</v>
      </c>
      <c r="G37">
        <f t="shared" si="2"/>
        <v>0.8</v>
      </c>
      <c r="H37">
        <f t="shared" si="3"/>
        <v>1.05</v>
      </c>
      <c r="I37">
        <f t="shared" si="4"/>
        <v>-0.27299999999999996</v>
      </c>
      <c r="K37">
        <f t="shared" si="5"/>
        <v>-5.0000000000000044E-2</v>
      </c>
      <c r="L37">
        <f t="shared" si="6"/>
        <v>2.9999999999999916E-2</v>
      </c>
      <c r="M37">
        <f t="shared" si="7"/>
        <v>1.01</v>
      </c>
      <c r="O37">
        <f t="shared" si="8"/>
        <v>0.61</v>
      </c>
      <c r="P37">
        <f t="shared" si="9"/>
        <v>0.85</v>
      </c>
      <c r="Q37">
        <f t="shared" si="10"/>
        <v>-4.58</v>
      </c>
    </row>
  </sheetData>
  <mergeCells count="10">
    <mergeCell ref="C7:E7"/>
    <mergeCell ref="G7:I7"/>
    <mergeCell ref="K7:M7"/>
    <mergeCell ref="O7:Q7"/>
    <mergeCell ref="G24:I24"/>
    <mergeCell ref="K24:M24"/>
    <mergeCell ref="O24:Q24"/>
    <mergeCell ref="G1:I1"/>
    <mergeCell ref="K1:M1"/>
    <mergeCell ref="O1:Q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BlueMOTCoil</vt:lpstr>
      <vt:lpstr>RedMOTCoil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Camargo</cp:lastModifiedBy>
  <dcterms:modified xsi:type="dcterms:W3CDTF">2014-09-26T21:38:22Z</dcterms:modified>
</cp:coreProperties>
</file>