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yalp\Documents\GitHub\phd_thesis\chapters\fermion_spectroscopy\results\spectra\"/>
    </mc:Choice>
  </mc:AlternateContent>
  <xr:revisionPtr revIDLastSave="0" documentId="13_ncr:1_{9B78B320-2198-4551-ADFE-9463BAB24B8A}" xr6:coauthVersionLast="43" xr6:coauthVersionMax="43" xr10:uidLastSave="{00000000-0000-0000-0000-000000000000}"/>
  <bookViews>
    <workbookView xWindow="28680" yWindow="-120" windowWidth="29040" windowHeight="15840" activeTab="2" xr2:uid="{00000000-000D-0000-FFFF-FFFF00000000}"/>
  </bookViews>
  <sheets>
    <sheet name="5s50d" sheetId="2" r:id="rId1"/>
    <sheet name="5s60d" sheetId="3" r:id="rId2"/>
    <sheet name="5s98d-5s99d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1" i="2" l="1"/>
  <c r="D7" i="3"/>
  <c r="D6" i="3"/>
  <c r="D13" i="3" l="1"/>
  <c r="D3" i="3"/>
  <c r="D2" i="3"/>
  <c r="D12" i="3" l="1"/>
  <c r="D11" i="3"/>
  <c r="D10" i="3"/>
  <c r="D9" i="3"/>
  <c r="D8" i="3"/>
  <c r="D5" i="3"/>
  <c r="D4" i="3"/>
  <c r="D12" i="2" l="1"/>
  <c r="D10" i="2"/>
  <c r="D9" i="2"/>
  <c r="D8" i="2"/>
  <c r="D7" i="2"/>
  <c r="D6" i="2"/>
  <c r="D5" i="2"/>
  <c r="D4" i="2"/>
</calcChain>
</file>

<file path=xl/sharedStrings.xml><?xml version="1.0" encoding="utf-8"?>
<sst xmlns="http://schemas.openxmlformats.org/spreadsheetml/2006/main" count="112" uniqueCount="24">
  <si>
    <t>Series</t>
  </si>
  <si>
    <t>n</t>
  </si>
  <si>
    <t>Term</t>
  </si>
  <si>
    <t>F</t>
  </si>
  <si>
    <t>E_expt</t>
  </si>
  <si>
    <t>E_expt_unc</t>
  </si>
  <si>
    <t>DeltaE_expt</t>
  </si>
  <si>
    <t>DeltaE_expt_unc</t>
  </si>
  <si>
    <t>E_theor</t>
  </si>
  <si>
    <t>DeltaE_theor</t>
  </si>
  <si>
    <t>5sns</t>
  </si>
  <si>
    <t>3S1</t>
  </si>
  <si>
    <t>5snd</t>
  </si>
  <si>
    <t>3D1</t>
  </si>
  <si>
    <t>3D2</t>
  </si>
  <si>
    <t>1D2</t>
  </si>
  <si>
    <t>1S0</t>
  </si>
  <si>
    <t>3D3</t>
  </si>
  <si>
    <t>−183.64</t>
  </si>
  <si>
    <t>−79.40</t>
  </si>
  <si>
    <t>−626.40</t>
  </si>
  <si>
    <t>−178.89</t>
  </si>
  <si>
    <t>−72.67</t>
  </si>
  <si>
    <t>−609.77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</si>
</sst>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workbookViewId="0">
      <selection activeCell="D12" sqref="D12"/>
    </sheetView>
  </sheetViews>
  <sheetFormatPr defaultRowHeight="14.4" x14ac:dyDescent="0.3"/>
  <cols>
    <col min="5" max="5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50</v>
      </c>
      <c r="C2" t="s">
        <v>11</v>
      </c>
      <c r="D2" s="1">
        <v>5.5</v>
      </c>
      <c r="E2">
        <v>45881.650999999998</v>
      </c>
      <c r="F2">
        <v>2.0999999999999999E-3</v>
      </c>
      <c r="G2">
        <v>0</v>
      </c>
      <c r="H2">
        <v>0</v>
      </c>
      <c r="I2">
        <v>45881.648800000003</v>
      </c>
      <c r="J2">
        <v>0</v>
      </c>
    </row>
    <row r="3" spans="1:10" x14ac:dyDescent="0.3">
      <c r="A3" t="s">
        <v>10</v>
      </c>
      <c r="B3">
        <v>50</v>
      </c>
      <c r="C3" t="s">
        <v>11</v>
      </c>
      <c r="D3" s="1">
        <v>4.5</v>
      </c>
      <c r="E3">
        <v>45881.713799999998</v>
      </c>
      <c r="F3">
        <v>2.2000000000000001E-3</v>
      </c>
      <c r="G3">
        <v>1.88</v>
      </c>
      <c r="H3">
        <v>0.09</v>
      </c>
      <c r="I3">
        <v>45881.711900000002</v>
      </c>
      <c r="J3">
        <v>1.89</v>
      </c>
    </row>
    <row r="4" spans="1:10" x14ac:dyDescent="0.3">
      <c r="A4" t="s">
        <v>12</v>
      </c>
      <c r="B4">
        <v>50</v>
      </c>
      <c r="C4" t="s">
        <v>13</v>
      </c>
      <c r="D4" s="1">
        <f>7/2</f>
        <v>3.5</v>
      </c>
      <c r="E4">
        <v>45883.144</v>
      </c>
      <c r="F4">
        <v>2.2000000000000001E-3</v>
      </c>
      <c r="I4">
        <v>45883.1414</v>
      </c>
    </row>
    <row r="5" spans="1:10" x14ac:dyDescent="0.3">
      <c r="A5" t="s">
        <v>12</v>
      </c>
      <c r="B5">
        <v>50</v>
      </c>
      <c r="C5" t="s">
        <v>13</v>
      </c>
      <c r="D5">
        <f>9/2</f>
        <v>4.5</v>
      </c>
      <c r="E5">
        <v>45883.1538</v>
      </c>
      <c r="F5">
        <v>2.2000000000000001E-3</v>
      </c>
      <c r="I5">
        <v>45883.151400000002</v>
      </c>
    </row>
    <row r="6" spans="1:10" x14ac:dyDescent="0.3">
      <c r="A6" t="s">
        <v>12</v>
      </c>
      <c r="B6">
        <v>50</v>
      </c>
      <c r="C6" t="s">
        <v>14</v>
      </c>
      <c r="D6">
        <f>11/2</f>
        <v>5.5</v>
      </c>
      <c r="E6">
        <v>45883.1685</v>
      </c>
      <c r="F6">
        <v>2.2000000000000001E-3</v>
      </c>
      <c r="I6">
        <v>45883.1662</v>
      </c>
    </row>
    <row r="7" spans="1:10" x14ac:dyDescent="0.3">
      <c r="A7" t="s">
        <v>12</v>
      </c>
      <c r="B7">
        <v>50</v>
      </c>
      <c r="C7" t="s">
        <v>14</v>
      </c>
      <c r="D7">
        <f>7/2</f>
        <v>3.5</v>
      </c>
      <c r="E7">
        <v>45883.288200000003</v>
      </c>
      <c r="F7">
        <v>2.0999999999999999E-3</v>
      </c>
      <c r="I7">
        <v>45883.285499999998</v>
      </c>
    </row>
    <row r="8" spans="1:10" x14ac:dyDescent="0.3">
      <c r="A8" t="s">
        <v>12</v>
      </c>
      <c r="B8">
        <v>50</v>
      </c>
      <c r="C8" t="s">
        <v>14</v>
      </c>
      <c r="D8">
        <f>9/2</f>
        <v>4.5</v>
      </c>
      <c r="E8">
        <v>45883.292200000004</v>
      </c>
      <c r="F8">
        <v>2.0999999999999999E-3</v>
      </c>
      <c r="I8">
        <v>45883.289299999997</v>
      </c>
    </row>
    <row r="9" spans="1:10" x14ac:dyDescent="0.3">
      <c r="A9" t="s">
        <v>12</v>
      </c>
      <c r="B9">
        <v>50</v>
      </c>
      <c r="C9" t="s">
        <v>13</v>
      </c>
      <c r="D9">
        <f>11/2</f>
        <v>5.5</v>
      </c>
      <c r="E9">
        <v>45883.297200000001</v>
      </c>
      <c r="F9">
        <v>2.0999999999999999E-3</v>
      </c>
      <c r="I9">
        <v>45883.294199999997</v>
      </c>
    </row>
    <row r="10" spans="1:10" x14ac:dyDescent="0.3">
      <c r="A10" t="s">
        <v>12</v>
      </c>
      <c r="B10">
        <v>50</v>
      </c>
      <c r="C10" t="s">
        <v>17</v>
      </c>
      <c r="D10">
        <f>11/2</f>
        <v>5.5</v>
      </c>
      <c r="E10">
        <v>45883.384899999997</v>
      </c>
      <c r="F10">
        <v>2.2000000000000001E-3</v>
      </c>
      <c r="I10">
        <v>45883.381399999998</v>
      </c>
    </row>
    <row r="11" spans="1:10" x14ac:dyDescent="0.3">
      <c r="A11" t="s">
        <v>12</v>
      </c>
      <c r="B11">
        <v>50</v>
      </c>
      <c r="C11" t="s">
        <v>17</v>
      </c>
      <c r="D11">
        <f>9/2</f>
        <v>4.5</v>
      </c>
      <c r="E11">
        <v>45883.414599999996</v>
      </c>
      <c r="F11">
        <v>2.2000000000000001E-3</v>
      </c>
      <c r="I11">
        <v>45883.411099999998</v>
      </c>
    </row>
    <row r="12" spans="1:10" x14ac:dyDescent="0.3">
      <c r="A12" t="s">
        <v>12</v>
      </c>
      <c r="B12">
        <v>50</v>
      </c>
      <c r="C12" t="s">
        <v>17</v>
      </c>
      <c r="D12">
        <f>7/2</f>
        <v>3.5</v>
      </c>
      <c r="E12">
        <v>45883.437400000003</v>
      </c>
      <c r="F12">
        <v>2.2000000000000001E-3</v>
      </c>
      <c r="I12">
        <v>45883.433900000004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>
      <selection activeCell="D12" sqref="D1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60</v>
      </c>
      <c r="C2" t="s">
        <v>16</v>
      </c>
      <c r="D2">
        <f>9/2</f>
        <v>4.5</v>
      </c>
      <c r="E2">
        <v>45898.144399999997</v>
      </c>
      <c r="F2">
        <v>2.2000000000000001E-3</v>
      </c>
      <c r="G2">
        <v>7.28</v>
      </c>
      <c r="H2">
        <v>0.09</v>
      </c>
      <c r="I2">
        <v>45898.142099999997</v>
      </c>
      <c r="J2">
        <v>7.26</v>
      </c>
    </row>
    <row r="3" spans="1:10" x14ac:dyDescent="0.3">
      <c r="A3" t="s">
        <v>10</v>
      </c>
      <c r="B3">
        <v>60</v>
      </c>
      <c r="C3" t="s">
        <v>11</v>
      </c>
      <c r="D3">
        <f>7/2</f>
        <v>3.5</v>
      </c>
      <c r="E3">
        <v>45898.068800000001</v>
      </c>
      <c r="F3">
        <v>2.0999999999999999E-3</v>
      </c>
      <c r="G3">
        <v>5.0199999999999996</v>
      </c>
      <c r="H3">
        <v>0.08</v>
      </c>
      <c r="I3">
        <v>45898.066800000001</v>
      </c>
      <c r="J3">
        <v>5</v>
      </c>
    </row>
    <row r="4" spans="1:10" x14ac:dyDescent="0.3">
      <c r="A4" t="s">
        <v>12</v>
      </c>
      <c r="B4">
        <v>60</v>
      </c>
      <c r="C4" t="s">
        <v>13</v>
      </c>
      <c r="D4" s="1">
        <f>7/2</f>
        <v>3.5</v>
      </c>
      <c r="E4">
        <v>45898.736700000001</v>
      </c>
      <c r="F4">
        <v>2.0999999999999999E-3</v>
      </c>
      <c r="G4" t="s">
        <v>18</v>
      </c>
      <c r="H4">
        <v>7.0000000000000007E-2</v>
      </c>
      <c r="I4">
        <v>45898.734700000001</v>
      </c>
      <c r="J4" t="s">
        <v>21</v>
      </c>
    </row>
    <row r="5" spans="1:10" x14ac:dyDescent="0.3">
      <c r="A5" t="s">
        <v>12</v>
      </c>
      <c r="B5">
        <v>60</v>
      </c>
      <c r="C5" t="s">
        <v>13</v>
      </c>
      <c r="D5" s="1">
        <f>9/2</f>
        <v>4.5</v>
      </c>
      <c r="E5">
        <v>45898.7428</v>
      </c>
      <c r="F5">
        <v>2.0999999999999999E-3</v>
      </c>
      <c r="G5">
        <v>0</v>
      </c>
      <c r="H5">
        <v>0</v>
      </c>
      <c r="I5">
        <v>45898.740700000002</v>
      </c>
      <c r="J5">
        <v>0</v>
      </c>
    </row>
    <row r="6" spans="1:10" x14ac:dyDescent="0.3">
      <c r="A6" t="s">
        <v>12</v>
      </c>
      <c r="B6">
        <v>60</v>
      </c>
      <c r="C6" t="s">
        <v>14</v>
      </c>
      <c r="D6" s="1">
        <f>11/2</f>
        <v>5.5</v>
      </c>
      <c r="E6">
        <v>45898.752099999998</v>
      </c>
      <c r="F6">
        <v>2.0999999999999999E-3</v>
      </c>
      <c r="G6">
        <v>277.33999999999997</v>
      </c>
      <c r="H6">
        <v>7.0000000000000007E-2</v>
      </c>
      <c r="I6">
        <v>45898.7497</v>
      </c>
      <c r="J6">
        <v>270.37</v>
      </c>
    </row>
    <row r="7" spans="1:10" x14ac:dyDescent="0.3">
      <c r="A7" t="s">
        <v>12</v>
      </c>
      <c r="B7">
        <v>60</v>
      </c>
      <c r="C7" t="s">
        <v>14</v>
      </c>
      <c r="D7" s="1">
        <f>7/2</f>
        <v>3.5</v>
      </c>
      <c r="E7">
        <v>45898.856800000001</v>
      </c>
      <c r="F7">
        <v>2.2000000000000001E-3</v>
      </c>
      <c r="G7" t="s">
        <v>19</v>
      </c>
      <c r="H7">
        <v>7.0000000000000007E-2</v>
      </c>
      <c r="I7">
        <v>45898.854399999997</v>
      </c>
      <c r="J7" t="s">
        <v>22</v>
      </c>
    </row>
    <row r="8" spans="1:10" x14ac:dyDescent="0.3">
      <c r="A8" t="s">
        <v>12</v>
      </c>
      <c r="B8">
        <v>60</v>
      </c>
      <c r="C8" t="s">
        <v>14</v>
      </c>
      <c r="D8" s="1">
        <f>9/2</f>
        <v>4.5</v>
      </c>
      <c r="E8">
        <v>45898.859400000001</v>
      </c>
      <c r="F8">
        <v>2.2000000000000001E-3</v>
      </c>
      <c r="G8">
        <v>0</v>
      </c>
      <c r="H8">
        <v>0</v>
      </c>
      <c r="I8">
        <v>45898.856899999999</v>
      </c>
      <c r="J8">
        <v>0</v>
      </c>
    </row>
    <row r="9" spans="1:10" x14ac:dyDescent="0.3">
      <c r="A9" t="s">
        <v>12</v>
      </c>
      <c r="B9">
        <v>60</v>
      </c>
      <c r="C9" t="s">
        <v>17</v>
      </c>
      <c r="D9" s="1">
        <f>11/2</f>
        <v>5.5</v>
      </c>
      <c r="E9">
        <v>45898.861799999999</v>
      </c>
      <c r="F9">
        <v>2.2000000000000001E-3</v>
      </c>
      <c r="G9">
        <v>71.37</v>
      </c>
      <c r="H9">
        <v>7.0000000000000007E-2</v>
      </c>
      <c r="I9">
        <v>45898.858800000002</v>
      </c>
      <c r="J9">
        <v>58.8</v>
      </c>
    </row>
    <row r="10" spans="1:10" x14ac:dyDescent="0.3">
      <c r="A10" t="s">
        <v>12</v>
      </c>
      <c r="B10">
        <v>60</v>
      </c>
      <c r="C10" t="s">
        <v>13</v>
      </c>
      <c r="D10" s="1">
        <f>11/2</f>
        <v>5.5</v>
      </c>
      <c r="E10">
        <v>45898.922299999998</v>
      </c>
      <c r="F10">
        <v>2.2000000000000001E-3</v>
      </c>
      <c r="G10" t="s">
        <v>20</v>
      </c>
      <c r="H10">
        <v>7.0000000000000007E-2</v>
      </c>
      <c r="I10">
        <v>45898.919699999999</v>
      </c>
      <c r="J10" t="s">
        <v>23</v>
      </c>
    </row>
    <row r="11" spans="1:10" x14ac:dyDescent="0.3">
      <c r="A11" t="s">
        <v>12</v>
      </c>
      <c r="B11">
        <v>60</v>
      </c>
      <c r="C11" t="s">
        <v>17</v>
      </c>
      <c r="D11" s="1">
        <f>9/2</f>
        <v>4.5</v>
      </c>
      <c r="E11">
        <v>45898.943200000002</v>
      </c>
      <c r="F11">
        <v>2.2000000000000001E-3</v>
      </c>
      <c r="G11">
        <v>0</v>
      </c>
      <c r="H11">
        <v>0</v>
      </c>
      <c r="I11">
        <v>45898.94</v>
      </c>
      <c r="J11">
        <v>0</v>
      </c>
    </row>
    <row r="12" spans="1:10" x14ac:dyDescent="0.3">
      <c r="A12" t="s">
        <v>12</v>
      </c>
      <c r="B12">
        <v>60</v>
      </c>
      <c r="C12" t="s">
        <v>17</v>
      </c>
      <c r="D12" s="1">
        <f>7/2</f>
        <v>3.5</v>
      </c>
      <c r="E12">
        <v>45898.960800000001</v>
      </c>
      <c r="F12">
        <v>2.2000000000000001E-3</v>
      </c>
      <c r="G12">
        <v>526.17999999999995</v>
      </c>
      <c r="H12">
        <v>7.0000000000000007E-2</v>
      </c>
      <c r="I12">
        <v>45898.957300000002</v>
      </c>
      <c r="J12">
        <v>517.37</v>
      </c>
    </row>
    <row r="13" spans="1:10" x14ac:dyDescent="0.3">
      <c r="A13" t="s">
        <v>10</v>
      </c>
      <c r="B13">
        <v>60</v>
      </c>
      <c r="C13" t="s">
        <v>11</v>
      </c>
      <c r="D13">
        <f>11/2</f>
        <v>5.5</v>
      </c>
      <c r="E13">
        <v>45897.901400000002</v>
      </c>
      <c r="F13">
        <v>1.9E-3</v>
      </c>
      <c r="I13">
        <v>45897.9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tabSelected="1" workbookViewId="0">
      <selection sqref="A1:J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98</v>
      </c>
      <c r="C2" t="s">
        <v>11</v>
      </c>
      <c r="D2">
        <v>5.5</v>
      </c>
      <c r="E2">
        <v>45919.866199999997</v>
      </c>
      <c r="F2">
        <v>2.2000000000000001E-3</v>
      </c>
      <c r="G2">
        <v>0</v>
      </c>
      <c r="H2">
        <v>0</v>
      </c>
      <c r="I2">
        <v>45919.864600000001</v>
      </c>
      <c r="J2">
        <v>0</v>
      </c>
    </row>
    <row r="3" spans="1:10" x14ac:dyDescent="0.3">
      <c r="A3" t="s">
        <v>10</v>
      </c>
      <c r="B3">
        <v>98</v>
      </c>
      <c r="C3" t="s">
        <v>11</v>
      </c>
      <c r="D3">
        <v>4.5</v>
      </c>
      <c r="E3">
        <v>45919.881600000001</v>
      </c>
      <c r="F3">
        <v>2.2000000000000001E-3</v>
      </c>
      <c r="G3">
        <v>463.02</v>
      </c>
      <c r="H3">
        <v>7.0000000000000007E-2</v>
      </c>
      <c r="I3">
        <v>45919.88</v>
      </c>
      <c r="J3">
        <v>461.64</v>
      </c>
    </row>
    <row r="4" spans="1:10" x14ac:dyDescent="0.3">
      <c r="A4" t="s">
        <v>12</v>
      </c>
      <c r="B4">
        <v>97</v>
      </c>
      <c r="C4" t="s">
        <v>13</v>
      </c>
      <c r="D4">
        <v>5.5</v>
      </c>
      <c r="E4">
        <v>45919.9565</v>
      </c>
      <c r="F4">
        <v>2.2000000000000001E-3</v>
      </c>
      <c r="G4">
        <v>2707.6</v>
      </c>
      <c r="H4">
        <v>3.5</v>
      </c>
      <c r="I4">
        <v>45919.955199999997</v>
      </c>
      <c r="J4">
        <v>2716.6</v>
      </c>
    </row>
    <row r="5" spans="1:10" x14ac:dyDescent="0.3">
      <c r="A5" t="s">
        <v>12</v>
      </c>
      <c r="B5">
        <v>97</v>
      </c>
      <c r="C5" t="s">
        <v>14</v>
      </c>
      <c r="D5">
        <v>4.5</v>
      </c>
      <c r="E5">
        <v>45919.959300000002</v>
      </c>
      <c r="F5">
        <v>2.2000000000000001E-3</v>
      </c>
      <c r="G5">
        <v>2792.4</v>
      </c>
      <c r="H5">
        <v>3.5</v>
      </c>
      <c r="I5">
        <v>45919.957900000001</v>
      </c>
      <c r="J5">
        <v>2796.2</v>
      </c>
    </row>
    <row r="6" spans="1:10" x14ac:dyDescent="0.3">
      <c r="A6" t="s">
        <v>12</v>
      </c>
      <c r="B6">
        <v>97</v>
      </c>
      <c r="C6" t="s">
        <v>15</v>
      </c>
      <c r="D6">
        <v>4.5</v>
      </c>
      <c r="E6">
        <v>45919.989600000001</v>
      </c>
      <c r="F6">
        <v>2.2000000000000001E-3</v>
      </c>
      <c r="G6">
        <v>3701</v>
      </c>
      <c r="H6">
        <v>4</v>
      </c>
      <c r="I6">
        <v>45919.9879</v>
      </c>
      <c r="J6">
        <v>3697</v>
      </c>
    </row>
    <row r="7" spans="1:10" x14ac:dyDescent="0.3">
      <c r="A7" t="s">
        <v>12</v>
      </c>
      <c r="B7">
        <v>97</v>
      </c>
      <c r="C7" t="s">
        <v>15</v>
      </c>
      <c r="D7">
        <v>5.5</v>
      </c>
      <c r="E7">
        <v>45919.9925</v>
      </c>
      <c r="F7">
        <v>2.2000000000000001E-3</v>
      </c>
      <c r="G7">
        <v>3785</v>
      </c>
      <c r="H7">
        <v>4</v>
      </c>
      <c r="I7">
        <v>45919.990899999997</v>
      </c>
      <c r="J7">
        <v>3786</v>
      </c>
    </row>
    <row r="8" spans="1:10" x14ac:dyDescent="0.3">
      <c r="A8" t="s">
        <v>12</v>
      </c>
      <c r="B8">
        <v>97</v>
      </c>
      <c r="C8" t="s">
        <v>15</v>
      </c>
      <c r="D8">
        <v>6.5</v>
      </c>
      <c r="E8">
        <v>45919.994599999998</v>
      </c>
      <c r="F8">
        <v>2.2000000000000001E-3</v>
      </c>
      <c r="G8">
        <v>3850</v>
      </c>
      <c r="H8">
        <v>4</v>
      </c>
      <c r="I8">
        <v>45919.993300000002</v>
      </c>
      <c r="J8">
        <v>3857</v>
      </c>
    </row>
    <row r="9" spans="1:10" x14ac:dyDescent="0.3">
      <c r="A9" t="s">
        <v>10</v>
      </c>
      <c r="B9">
        <v>98</v>
      </c>
      <c r="C9" t="s">
        <v>16</v>
      </c>
      <c r="D9">
        <v>4.5</v>
      </c>
      <c r="E9">
        <v>45920.043799999999</v>
      </c>
      <c r="F9">
        <v>2.2000000000000001E-3</v>
      </c>
      <c r="G9">
        <v>5325</v>
      </c>
      <c r="H9">
        <v>5</v>
      </c>
      <c r="I9">
        <v>45920.042300000001</v>
      </c>
      <c r="J9">
        <v>5327</v>
      </c>
    </row>
    <row r="10" spans="1:10" x14ac:dyDescent="0.3">
      <c r="A10" t="s">
        <v>12</v>
      </c>
      <c r="B10">
        <v>98</v>
      </c>
      <c r="C10" t="s">
        <v>13</v>
      </c>
      <c r="D10">
        <v>4.5</v>
      </c>
      <c r="E10">
        <v>45920.047400000003</v>
      </c>
      <c r="F10">
        <v>2.2000000000000001E-3</v>
      </c>
      <c r="G10">
        <v>5432</v>
      </c>
      <c r="H10">
        <v>5</v>
      </c>
      <c r="I10">
        <v>45920.046000000002</v>
      </c>
      <c r="J10">
        <v>5439</v>
      </c>
    </row>
    <row r="11" spans="1:10" x14ac:dyDescent="0.3">
      <c r="A11" t="s">
        <v>12</v>
      </c>
      <c r="B11">
        <v>98</v>
      </c>
      <c r="C11" t="s">
        <v>14</v>
      </c>
      <c r="D11">
        <v>5.5</v>
      </c>
      <c r="E11">
        <v>45920.0501</v>
      </c>
      <c r="F11">
        <v>2.2000000000000001E-3</v>
      </c>
      <c r="G11">
        <v>5512</v>
      </c>
      <c r="H11">
        <v>5</v>
      </c>
      <c r="I11">
        <v>45920.048499999997</v>
      </c>
      <c r="J11">
        <v>5514</v>
      </c>
    </row>
    <row r="12" spans="1:10" x14ac:dyDescent="0.3">
      <c r="A12" t="s">
        <v>12</v>
      </c>
      <c r="B12">
        <v>98</v>
      </c>
      <c r="C12" t="s">
        <v>14</v>
      </c>
      <c r="D12">
        <v>6.5</v>
      </c>
      <c r="E12">
        <v>45920.054400000001</v>
      </c>
      <c r="F12">
        <v>2.2000000000000001E-3</v>
      </c>
      <c r="G12">
        <v>5641</v>
      </c>
      <c r="H12">
        <v>5</v>
      </c>
      <c r="I12">
        <v>45920.052600000003</v>
      </c>
      <c r="J12">
        <v>5636</v>
      </c>
    </row>
    <row r="13" spans="1:10" x14ac:dyDescent="0.3">
      <c r="A13" t="s">
        <v>12</v>
      </c>
      <c r="B13">
        <v>98</v>
      </c>
      <c r="C13" t="s">
        <v>17</v>
      </c>
      <c r="D13">
        <v>6.5</v>
      </c>
      <c r="E13">
        <v>45920.0916</v>
      </c>
      <c r="F13">
        <v>2.2000000000000001E-3</v>
      </c>
      <c r="G13">
        <v>6756</v>
      </c>
      <c r="H13">
        <v>6</v>
      </c>
      <c r="I13">
        <v>45920.090100000001</v>
      </c>
      <c r="J13">
        <v>6761</v>
      </c>
    </row>
    <row r="14" spans="1:10" x14ac:dyDescent="0.3">
      <c r="A14" t="s">
        <v>12</v>
      </c>
      <c r="B14">
        <v>98</v>
      </c>
      <c r="C14" t="s">
        <v>17</v>
      </c>
      <c r="D14">
        <v>5.5</v>
      </c>
      <c r="E14">
        <v>45920.095600000001</v>
      </c>
      <c r="F14">
        <v>2.2000000000000001E-3</v>
      </c>
      <c r="G14">
        <v>6877</v>
      </c>
      <c r="H14">
        <v>6</v>
      </c>
      <c r="I14">
        <v>45920.094299999997</v>
      </c>
      <c r="J14">
        <v>6886</v>
      </c>
    </row>
    <row r="15" spans="1:10" x14ac:dyDescent="0.3">
      <c r="A15" t="s">
        <v>12</v>
      </c>
      <c r="B15">
        <v>98</v>
      </c>
      <c r="C15" t="s">
        <v>17</v>
      </c>
      <c r="D15">
        <v>4.5</v>
      </c>
      <c r="E15">
        <v>45920.0982</v>
      </c>
      <c r="F15">
        <v>2.2000000000000001E-3</v>
      </c>
      <c r="G15">
        <v>6954</v>
      </c>
      <c r="H15">
        <v>6</v>
      </c>
      <c r="I15">
        <v>45920.097099999999</v>
      </c>
      <c r="J15">
        <v>6970</v>
      </c>
    </row>
    <row r="16" spans="1:10" x14ac:dyDescent="0.3">
      <c r="A16" t="s">
        <v>10</v>
      </c>
      <c r="B16">
        <v>99</v>
      </c>
      <c r="C16" t="s">
        <v>11</v>
      </c>
      <c r="D16">
        <v>5.5</v>
      </c>
      <c r="E16">
        <v>45920.120999999999</v>
      </c>
      <c r="F16">
        <v>2.2000000000000001E-3</v>
      </c>
      <c r="G16">
        <v>7639</v>
      </c>
      <c r="H16">
        <v>6</v>
      </c>
      <c r="I16">
        <v>45920.119599999998</v>
      </c>
      <c r="J16">
        <v>7643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5s50d</vt:lpstr>
      <vt:lpstr>5s60d</vt:lpstr>
      <vt:lpstr>5s98d-5s99d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Ding</dc:creator>
  <cp:lastModifiedBy>Roger Ding</cp:lastModifiedBy>
  <dcterms:created xsi:type="dcterms:W3CDTF">2019-04-29T16:29:28Z</dcterms:created>
  <dcterms:modified xsi:type="dcterms:W3CDTF">2019-04-29T22:29:37Z</dcterms:modified>
</cp:coreProperties>
</file>